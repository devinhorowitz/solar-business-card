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Notes &amp; sourc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<sst xmlns="http://schemas.openxmlformats.org/spreadsheetml/2006/main" count="238" uniqueCount="195">
  <si>
    <t xml:space="preserve">Ref(s)</t>
  </si>
  <si>
    <t xml:space="preserve">Qty</t>
  </si>
  <si>
    <t xml:space="preserve">Function</t>
  </si>
  <si>
    <t xml:space="preserve">Value</t>
  </si>
  <si>
    <t xml:space="preserve">Package</t>
  </si>
  <si>
    <t xml:space="preserve">Mfr</t>
  </si>
  <si>
    <t xml:space="preserve">MPN (orderable)</t>
  </si>
  <si>
    <t xml:space="preserve">DigiKey P/N</t>
  </si>
  <si>
    <t xml:space="preserve">≈$/ea*</t>
  </si>
  <si>
    <t xml:space="preserve">Ext $</t>
  </si>
  <si>
    <t xml:space="preserve">Replaces</t>
  </si>
  <si>
    <t xml:space="preserve">Notes / flags</t>
  </si>
  <si>
    <t xml:space="preserve">MCU &amp; POWER</t>
  </si>
  <si>
    <t xml:space="preserve">U1</t>
  </si>
  <si>
    <t xml:space="preserve">MCU (AVR-DD): 4 HW-PWM LED drives, dome input, MVIO I2C, ADC light-sense, UPDI</t>
  </si>
  <si>
    <t xml:space="preserve">—</t>
  </si>
  <si>
    <t xml:space="preserve">28-VQFN 4x4</t>
  </si>
  <si>
    <t xml:space="preserve">Microchip</t>
  </si>
  <si>
    <t xml:space="preserve">AVR64DD28-I/STX</t>
  </si>
  <si>
    <t xml:space="preserve">AVR64DD28-I/STX-ND</t>
  </si>
  <si>
    <t xml:space="preserve">ATtiny1616 (v0)</t>
  </si>
  <si>
    <t xml:space="preserve">STX = VQFN28 (datasheet-confirmed). SSOP-28 (-I/SS) is the leaded-assembly option, ~0.25 mm taller. FW: BODLEVEL ~2.6 V (cold-start), PMODE=AUTO sleep.</t>
  </si>
  <si>
    <t xml:space="preserve">D1</t>
  </si>
  <si>
    <t xml:space="preserve">Solar blocking / charge diode (VIN-&gt;VS); isolates the caps in the dark</t>
  </si>
  <si>
    <t xml:space="preserve">Schottky, Vf~0.3-0.6 V</t>
  </si>
  <si>
    <t xml:space="preserve">SOD-123</t>
  </si>
  <si>
    <t xml:space="preserve">onsemi</t>
  </si>
  <si>
    <t xml:space="preserve">MMSD301T1G</t>
  </si>
  <si>
    <t xml:space="preserve">MMSD301T1GOSCT-ND</t>
  </si>
  <si>
    <t xml:space="preserve">PV1</t>
  </si>
  <si>
    <t xml:space="preserve">Indoor solar cell (charges the supercap stack)</t>
  </si>
  <si>
    <t xml:space="preserve">Voc 4.15 V, 184 mW</t>
  </si>
  <si>
    <t xml:space="preserve">42x23 mm custom</t>
  </si>
  <si>
    <t xml:space="preserve">ANYSOLAR</t>
  </si>
  <si>
    <t xml:space="preserve">SM141K06L</t>
  </si>
  <si>
    <t xml:space="preserve">SM141K06L-ND</t>
  </si>
  <si>
    <t xml:space="preserve">coin-battery option (BT1/BT2 + D6/D7)</t>
  </si>
  <si>
    <t xml:space="preserve">Now the sole source. Hand-solder only (&lt;260 C / 2 s, no reflow).</t>
  </si>
  <si>
    <t xml:space="preserve">SC1, SC2, SC3, SC4</t>
  </si>
  <si>
    <t xml:space="preserve">Energy storage -- 2P2S = 1 F @ 5.5 V on one MID node (U2 balances)</t>
  </si>
  <si>
    <t xml:space="preserve">2.75 V, 1 F ea</t>
  </si>
  <si>
    <t xml:space="preserve">28.5x17 SMD</t>
  </si>
  <si>
    <t xml:space="preserve">SCHURTER</t>
  </si>
  <si>
    <t xml:space="preserve">3-153-438</t>
  </si>
  <si>
    <t xml:space="preserve">486-3-153-438-ND</t>
  </si>
  <si>
    <t xml:space="preserve">2x WS10 3-153-434 (v0, 2S 150 mF)</t>
  </si>
  <si>
    <t xml:space="preserve">Under-body flat pads (P 7.8x3.5 / N 12.2x3.5, +/-11 mm). Hand-solder. Confirm live $.</t>
  </si>
  <si>
    <t xml:space="preserve">U2</t>
  </si>
  <si>
    <t xml:space="preserve">Supercap balancer -- dual SAB MOSFET across the MID node</t>
  </si>
  <si>
    <t xml:space="preserve">Dual SAB, Vt 2.50 V</t>
  </si>
  <si>
    <t xml:space="preserve">SOIC-8</t>
  </si>
  <si>
    <t xml:space="preserve">Advanced Linear</t>
  </si>
  <si>
    <t xml:space="preserve">ALD910025SALI</t>
  </si>
  <si>
    <t xml:space="preserve">ALD910025SALI-ND</t>
  </si>
  <si>
    <t xml:space="preserve">Dormant at the clamped rail (cells ~1.71 V &lt; 2.5 V Vt) -- fine.</t>
  </si>
  <si>
    <t xml:space="preserve">GLOW LEDs</t>
  </si>
  <si>
    <t xml:space="preserve">D2, D3, D4, D5</t>
  </si>
  <si>
    <t xml:space="preserve">Glow LEDs -- reverse-mount through the FR4 DRH window; 4 independent PWM</t>
  </si>
  <si>
    <t xml:space="preserve">Amber 617 nm, Vf~2.25 V</t>
  </si>
  <si>
    <t xml:space="preserve">PointLED 2-SMD</t>
  </si>
  <si>
    <t xml:space="preserve">ams OSRAM</t>
  </si>
  <si>
    <t xml:space="preserve">LA P47F-V2BB-24-3B5A-30-R18-Z</t>
  </si>
  <si>
    <t xml:space="preserve">475-LAP47F-V2BB-24-3B5A-30-R18-ZCT-ND</t>
  </si>
  <si>
    <t xml:space="preserve">-3B5A Vf bin.</t>
  </si>
  <si>
    <t xml:space="preserve">R1, R2, R3, R4</t>
  </si>
  <si>
    <t xml:space="preserve">LED ballast -- one per LED, per-LED low-side PWM</t>
  </si>
  <si>
    <t xml:space="preserve">1 kOhm +/-1% 25 ppm</t>
  </si>
  <si>
    <t xml:space="preserve">1206</t>
  </si>
  <si>
    <t xml:space="preserve">Vishay Dale</t>
  </si>
  <si>
    <t xml:space="preserve">TNPW12061K00FEEA</t>
  </si>
  <si>
    <t xml:space="preserve">541-TNPW12061K00FEEACT-ND</t>
  </si>
  <si>
    <t xml:space="preserve">DECOUPLING &amp; LIGHT-SENSE</t>
  </si>
  <si>
    <t xml:space="preserve">C1</t>
  </si>
  <si>
    <t xml:space="preserve">MCU VDD decouple (pin 18)</t>
  </si>
  <si>
    <t xml:space="preserve">0.1 uF X7R 50 V</t>
  </si>
  <si>
    <t xml:space="preserve">0805</t>
  </si>
  <si>
    <t xml:space="preserve">Samsung</t>
  </si>
  <si>
    <t xml:space="preserve">CL21B104KBCWPNC</t>
  </si>
  <si>
    <t xml:space="preserve">1276-6557-1-ND</t>
  </si>
  <si>
    <t xml:space="preserve">C2, C3</t>
  </si>
  <si>
    <t xml:space="preserve">MCU VDD pin 24 + VDDIO2 decouple</t>
  </si>
  <si>
    <t xml:space="preserve">1 uF CL21B105KBFVPNE (v0 VS-bypass)</t>
  </si>
  <si>
    <t xml:space="preserve">Role reassigned to per-pin decoupling.</t>
  </si>
  <si>
    <t xml:space="preserve">C4</t>
  </si>
  <si>
    <t xml:space="preserve">VS-rail bulk bypass</t>
  </si>
  <si>
    <t xml:space="preserve">1 uF X7S 10 V</t>
  </si>
  <si>
    <t xml:space="preserve">0402</t>
  </si>
  <si>
    <t xml:space="preserve">CL05Y105KP6VPN</t>
  </si>
  <si>
    <t xml:space="preserve">1276-1182-1-ND</t>
  </si>
  <si>
    <t xml:space="preserve">Supercaps carry the bulk.</t>
  </si>
  <si>
    <t xml:space="preserve">C5</t>
  </si>
  <si>
    <t xml:space="preserve">VSENSE ADC filter (VSENSE-&gt;GND), RC with R5/R6 into PA5/AIN25</t>
  </si>
  <si>
    <t xml:space="preserve">10 nF X7R</t>
  </si>
  <si>
    <t xml:space="preserve">Murata</t>
  </si>
  <si>
    <t xml:space="preserve">GRM155R71H103KA88D</t>
  </si>
  <si>
    <t xml:space="preserve">490-3258-1-ND</t>
  </si>
  <si>
    <t xml:space="preserve">— (added v1)</t>
  </si>
  <si>
    <t xml:space="preserve">R5, R6</t>
  </si>
  <si>
    <t xml:space="preserve">Light-sense divider (VIN-&gt;VSENSE-&gt;GND)</t>
  </si>
  <si>
    <t xml:space="preserve">1 MOhm +/-1%</t>
  </si>
  <si>
    <t xml:space="preserve">Yageo</t>
  </si>
  <si>
    <t xml:space="preserve">RC0402FR-071ML</t>
  </si>
  <si>
    <t xml:space="preserve">311-1.00MLRCT-ND</t>
  </si>
  <si>
    <t xml:space="preserve">1M/1M -&gt; VSENSE ~= VIN/2 &lt; VDD; sub-2 uA bleed.</t>
  </si>
  <si>
    <t xml:space="preserve">ACCELEROMETER (v2)</t>
  </si>
  <si>
    <t xml:space="preserve">U3</t>
  </si>
  <si>
    <t xml:space="preserve">Accelerometer -- tap / orientation / wake on I2C (INT1-&gt;PF1, INT2-&gt;PF0, addr 0x18)</t>
  </si>
  <si>
    <t xml:space="preserve">+/-2-16 g, 1.71-3.6 V</t>
  </si>
  <si>
    <t xml:space="preserve">LGA-12 2x2</t>
  </si>
  <si>
    <t xml:space="preserve">STMicroelectronics</t>
  </si>
  <si>
    <t xml:space="preserve">LIS2DH12TR</t>
  </si>
  <si>
    <t xml:space="preserve">497-14851-1-ND</t>
  </si>
  <si>
    <t xml:space="preserve">M1 keepout reservation</t>
  </si>
  <si>
    <t xml:space="preserve">3.6 V max -&gt; the VS clamp keeps VS ~= 3.42 V, so NO LDO.</t>
  </si>
  <si>
    <t xml:space="preserve">C6</t>
  </si>
  <si>
    <t xml:space="preserve">Accelerometer Vdd decouple</t>
  </si>
  <si>
    <t xml:space="preserve">0.1 uF X7R</t>
  </si>
  <si>
    <t xml:space="preserve">GRM155R71C104KA88D</t>
  </si>
  <si>
    <t xml:space="preserve">490-3261-1-ND</t>
  </si>
  <si>
    <t xml:space="preserve">— (added v2)</t>
  </si>
  <si>
    <t xml:space="preserve">VS-RAIL CLAMP (v2)</t>
  </si>
  <si>
    <t xml:space="preserve">Q1</t>
  </si>
  <si>
    <t xml:space="preserve">Clamp PNP pass -- shunts VIN excess to GND (E-&gt;VIN, B-&gt;CLBASE, C-&gt;GND)</t>
  </si>
  <si>
    <t xml:space="preserve">PNP 40 V 200 mA</t>
  </si>
  <si>
    <t xml:space="preserve">SOT-23</t>
  </si>
  <si>
    <t xml:space="preserve">MMBT3906</t>
  </si>
  <si>
    <t xml:space="preserve">MMBT3906FSCT-ND</t>
  </si>
  <si>
    <t xml:space="preserve">SOT-89 BCP53-16 if long bright-idle (~167 mW worst case).</t>
  </si>
  <si>
    <t xml:space="preserve">U4</t>
  </si>
  <si>
    <t xml:space="preserve">Clamp shunt reference 1.24 V (K-&gt;CLBASE, ref-&gt;CLREF, A-&gt;GND)</t>
  </si>
  <si>
    <t xml:space="preserve">TLV431B, 1.24 V +/-0.5%</t>
  </si>
  <si>
    <t xml:space="preserve">Texas Instruments</t>
  </si>
  <si>
    <t xml:space="preserve">TLV431BCDBZR</t>
  </si>
  <si>
    <t xml:space="preserve">296-21887-1-ND</t>
  </si>
  <si>
    <t xml:space="preserve">Trip = 1.24x(1+R7/R8) = 3.72 V -&gt; VS ~= 3.42 V.</t>
  </si>
  <si>
    <t xml:space="preserve">R7</t>
  </si>
  <si>
    <t xml:space="preserve">Clamp divider top (VIN-&gt;CLREF)</t>
  </si>
  <si>
    <t xml:space="preserve">20 kOhm +/-1%</t>
  </si>
  <si>
    <t xml:space="preserve">RC0402FR-0720KL</t>
  </si>
  <si>
    <t xml:space="preserve">311-20.0KLRCT-ND</t>
  </si>
  <si>
    <t xml:space="preserve">R8</t>
  </si>
  <si>
    <t xml:space="preserve">Clamp divider bottom (CLREF-&gt;GND)</t>
  </si>
  <si>
    <t xml:space="preserve">10 kOhm +/-1%</t>
  </si>
  <si>
    <t xml:space="preserve">RC0402FR-0710KL</t>
  </si>
  <si>
    <t xml:space="preserve">311-10.0KLRCT-ND</t>
  </si>
  <si>
    <t xml:space="preserve">R9</t>
  </si>
  <si>
    <t xml:space="preserve">Clamp base pull-up / TLV431 cathode path (VIN-&gt;CLBASE)</t>
  </si>
  <si>
    <t xml:space="preserve">1 kOhm +/-1%</t>
  </si>
  <si>
    <t xml:space="preserve">RC0402FR-071KL</t>
  </si>
  <si>
    <t xml:space="preserve">311-1.00KLRCT-ND</t>
  </si>
  <si>
    <t xml:space="preserve">C7</t>
  </si>
  <si>
    <t xml:space="preserve">Clamp loop stability / local VIN bypass</t>
  </si>
  <si>
    <t xml:space="preserve">I2C PULL-UPS (v2)</t>
  </si>
  <si>
    <t xml:space="preserve">R10, R11</t>
  </si>
  <si>
    <t xml:space="preserve">I2C pull-ups (SDA-&gt;VS, SCL-&gt;VS)</t>
  </si>
  <si>
    <t xml:space="preserve">4.7 kOhm +/-1%</t>
  </si>
  <si>
    <t xml:space="preserve">RC0402FR-074K7L</t>
  </si>
  <si>
    <t xml:space="preserve">311-4.70KLRCT-ND</t>
  </si>
  <si>
    <t xml:space="preserve">REQUIRED for the open-drain TWI bus. 2.2k if long wires / 400 kHz+.</t>
  </si>
  <si>
    <t xml:space="preserve">PROTECTION &amp; RAIL JUMPER</t>
  </si>
  <si>
    <t xml:space="preserve">D8</t>
  </si>
  <si>
    <t xml:space="preserve">BTN ESD clamp at the snap dome (BTN &lt;-&gt; GND)</t>
  </si>
  <si>
    <t xml:space="preserve">5 V bidir TVS</t>
  </si>
  <si>
    <t xml:space="preserve">SOD-323</t>
  </si>
  <si>
    <t xml:space="preserve">Nexperia</t>
  </si>
  <si>
    <t xml:space="preserve">PESD5V0S1BA,115</t>
  </si>
  <si>
    <t xml:space="preserve">1727-6502-1-ND</t>
  </si>
  <si>
    <t xml:space="preserve">Often supply-constrained -- any 5 V SOD-323 ESD TVS substitutes.</t>
  </si>
  <si>
    <t xml:space="preserve">SJ1</t>
  </si>
  <si>
    <t xml:space="preserve">VDDIO2 -&gt; VS tie</t>
  </si>
  <si>
    <t xml:space="preserve">0 Ohm jumper</t>
  </si>
  <si>
    <t xml:space="preserve">RC0402JR-070RL</t>
  </si>
  <si>
    <t xml:space="preserve">311-0.0RTR-ND</t>
  </si>
  <si>
    <t xml:space="preserve">MUST be closed or PORTC/VDDIO2 is dead. Solder bridge = no part.</t>
  </si>
  <si>
    <t xml:space="preserve">Per-board parts subtotal (indicative)</t>
  </si>
  <si>
    <t xml:space="preserve">SOLAR-GLOW DRH -- v2 BOM notes</t>
  </si>
  <si>
    <t xml:space="preserve">Not purchased -- PCB / gerber features (no BOM line):</t>
  </si>
  <si>
    <t xml:space="preserve">SB1-4  per-LED test solder bridges (bridge LDRVn to GND for an MCU-less array test).</t>
  </si>
  <si>
    <t xml:space="preserve">J1  bare UPDI pads (UPDI/VCC/GND fallback).   JP1  I2C breakout (SDA/SCL/GND).   JP2  spare-GPIO breakout (PA4/PC0/PC1+GND).</t>
  </si>
  <si>
    <t xml:space="preserve">MH1-4  M2 plated, grounded mounting holes.   TC1  Tag-Connect TC2030 UPDI land.</t>
  </si>
  <si>
    <t xml:space="preserve">Programming tools (one-time, not per board): a TC2030-IDC-NL no-legs cable + a USB-serial UPDI adapter (TX via ~4.7k). NOT the TC2030-MCP cable (PIC-only).</t>
  </si>
  <si>
    <t xml:space="preserve">Removed from the design -- not ordered (kept here, not as BOM rows):</t>
  </si>
  <si>
    <t xml:space="preserve">Coin-battery option: BT1/BT2 retainers + D6/D7 diodes + CR1632 cells -- PV1 solar is the committed source.</t>
  </si>
  <si>
    <t xml:space="preserve">M1 accelerometer keepout -- superseded by the populated U3 (LIS2DH12).</t>
  </si>
  <si>
    <t xml:space="preserve">CAST x5 edge castellations -- the grounded Ti wall shorts the non-GND teeth; dropped for the enclosed build (or add Kapton for a bare variant).</t>
  </si>
  <si>
    <t xml:space="preserve">Footprints:</t>
  </si>
  <si>
    <t xml:space="preserve">The generator lands are placement placeholders / hand-solder-enlarged. Set the real KiCad footprint per each MPN package:</t>
  </si>
  <si>
    <t xml:space="preserve">  R1-4 = 1206 ; C1-3 = 0805 ; C4/C5/C6/C7 = 0402 ; R5-R11 + SJ1 = 0402 ; U3 = LGA-12 ; Q1/U4 = SOT-23 ; D8 = SOD-323 ; U2 = SOIC-8 ; U1 = VQFN28.</t>
  </si>
  <si>
    <t xml:space="preserve">Open decision -- MCU package:</t>
  </si>
  <si>
    <t xml:space="preserve">VQFN28 (AVR64DD28-I/STX) in the current layout, vs SSOP-28 (-I/SS) for easier leaded assembly (~0.25 mm taller; the U2 SOIC-8 already sets the height floor).</t>
  </si>
  <si>
    <t xml:space="preserve">Firmware / build must-dos:</t>
  </si>
  <si>
    <t xml:space="preserve">Close SJ1 (else VDDIO2/PORTC is dead).   Set BODLEVEL ~2.6 V (cold-start holds reset until the caps charge).   R10/R11 I2C pull-ups are mandatory.</t>
  </si>
  <si>
    <t xml:space="preserve">Sourcing:</t>
  </si>
  <si>
    <t xml:space="preserve">Pricing is indicative (qty 1-10, USD) -- confirm at the DigiKey cart. SC1-4 (4x ~$18) + PV1 dominate the cost.</t>
  </si>
  <si>
    <t xml:space="preserve">New-part verification (this pass): U1 STX=VQFN28 (datasheet) ; U3 LIS2DH12TR 497-14851-1-ND ~$1.79 ; U4 TLV431BCDBZR (TI SOT-23) ; Q1 MMBT3906 MMBT3906FSCT-ND ; D8 PESD5V0S1BA (check stock) ; passives Yageo RC0402 + Murata GRM155 (orderable).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</si>
</sst>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7F6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4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10" min="9" style="0" width="9"/>
    <col collapsed="false" customWidth="true" hidden="false" outlineLevel="0" max="11" min="11" style="0" width="24"/>
    <col collapsed="false" customWidth="true" hidden="false" outlineLevel="0" max="12" min="12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5.05" hidden="false" customHeight="false" outlineLevel="0" collapsed="false">
      <c r="A3" s="4" t="s">
        <v>13</v>
      </c>
      <c r="B3" s="4" t="n">
        <v>1</v>
      </c>
      <c r="C3" s="5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6" t="n">
        <v>1.62</v>
      </c>
      <c r="J3" s="6" t="n">
        <f aca="false">B3*I3</f>
        <v>1.62</v>
      </c>
      <c r="K3" s="7" t="s">
        <v>20</v>
      </c>
      <c r="L3" s="5" t="s">
        <v>21</v>
      </c>
    </row>
    <row r="4" customFormat="false" ht="23.85" hidden="false" customHeight="false" outlineLevel="0" collapsed="false">
      <c r="A4" s="4" t="s">
        <v>22</v>
      </c>
      <c r="B4" s="4" t="n">
        <v>1</v>
      </c>
      <c r="C4" s="5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6" t="n">
        <v>0.125</v>
      </c>
      <c r="J4" s="6" t="n">
        <f aca="false">B4*I4</f>
        <v>0.125</v>
      </c>
      <c r="K4" s="7" t="s">
        <v>15</v>
      </c>
      <c r="L4" s="5"/>
    </row>
    <row r="5" customFormat="false" ht="23.85" hidden="false" customHeight="false" outlineLevel="0" collapsed="false">
      <c r="A5" s="4" t="s">
        <v>29</v>
      </c>
      <c r="B5" s="4" t="n">
        <v>1</v>
      </c>
      <c r="C5" s="5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6" t="n">
        <v>6.98</v>
      </c>
      <c r="J5" s="6" t="n">
        <f aca="false">B5*I5</f>
        <v>6.98</v>
      </c>
      <c r="K5" s="7" t="s">
        <v>36</v>
      </c>
      <c r="L5" s="5" t="s">
        <v>37</v>
      </c>
    </row>
    <row r="6" customFormat="false" ht="23.85" hidden="false" customHeight="false" outlineLevel="0" collapsed="false">
      <c r="A6" s="4" t="s">
        <v>38</v>
      </c>
      <c r="B6" s="4" t="n">
        <v>4</v>
      </c>
      <c r="C6" s="5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6" t="n">
        <v>18</v>
      </c>
      <c r="J6" s="6" t="n">
        <f aca="false">B6*I6</f>
        <v>72</v>
      </c>
      <c r="K6" s="7" t="s">
        <v>45</v>
      </c>
      <c r="L6" s="5" t="s">
        <v>46</v>
      </c>
    </row>
    <row r="7" customFormat="false" ht="15" hidden="false" customHeight="false" outlineLevel="0" collapsed="false">
      <c r="A7" s="4" t="s">
        <v>47</v>
      </c>
      <c r="B7" s="4" t="n">
        <v>1</v>
      </c>
      <c r="C7" s="5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6" t="n">
        <v>7.68</v>
      </c>
      <c r="J7" s="6" t="n">
        <f aca="false">B7*I7</f>
        <v>7.68</v>
      </c>
      <c r="K7" s="7" t="s">
        <v>15</v>
      </c>
      <c r="L7" s="5" t="s">
        <v>54</v>
      </c>
    </row>
    <row r="8" customFormat="false" ht="15" hidden="false" customHeight="false" outlineLevel="0" collapsed="false">
      <c r="A8" s="3" t="s">
        <v>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23.85" hidden="false" customHeight="false" outlineLevel="0" collapsed="false">
      <c r="A9" s="4" t="s">
        <v>56</v>
      </c>
      <c r="B9" s="4" t="n">
        <v>4</v>
      </c>
      <c r="C9" s="5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6" t="n">
        <v>0.273</v>
      </c>
      <c r="J9" s="6" t="n">
        <f aca="false">B9*I9</f>
        <v>1.092</v>
      </c>
      <c r="K9" s="7" t="s">
        <v>15</v>
      </c>
      <c r="L9" s="5" t="s">
        <v>63</v>
      </c>
    </row>
    <row r="10" customFormat="false" ht="15" hidden="false" customHeight="false" outlineLevel="0" collapsed="false">
      <c r="A10" s="4" t="s">
        <v>64</v>
      </c>
      <c r="B10" s="4" t="n">
        <v>4</v>
      </c>
      <c r="C10" s="5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70</v>
      </c>
      <c r="I10" s="6" t="n">
        <v>0.366</v>
      </c>
      <c r="J10" s="6" t="n">
        <f aca="false">B10*I10</f>
        <v>1.464</v>
      </c>
      <c r="K10" s="7" t="s">
        <v>15</v>
      </c>
      <c r="L10" s="5"/>
    </row>
    <row r="11" customFormat="false" ht="15" hidden="false" customHeight="false" outlineLevel="0" collapsed="false">
      <c r="A11" s="3" t="s">
        <v>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4" t="s">
        <v>72</v>
      </c>
      <c r="B12" s="4" t="n">
        <v>1</v>
      </c>
      <c r="C12" s="5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6" t="n">
        <v>0.0886</v>
      </c>
      <c r="J12" s="6" t="n">
        <f aca="false">B12*I12</f>
        <v>0.0886</v>
      </c>
      <c r="K12" s="7" t="s">
        <v>15</v>
      </c>
      <c r="L12" s="5"/>
    </row>
    <row r="13" customFormat="false" ht="23.85" hidden="false" customHeight="false" outlineLevel="0" collapsed="false">
      <c r="A13" s="4" t="s">
        <v>79</v>
      </c>
      <c r="B13" s="4" t="n">
        <v>2</v>
      </c>
      <c r="C13" s="5" t="s">
        <v>80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6" t="n">
        <v>0.0886</v>
      </c>
      <c r="J13" s="6" t="n">
        <f aca="false">B13*I13</f>
        <v>0.1772</v>
      </c>
      <c r="K13" s="7" t="s">
        <v>81</v>
      </c>
      <c r="L13" s="5" t="s">
        <v>82</v>
      </c>
    </row>
    <row r="14" customFormat="false" ht="15" hidden="false" customHeight="false" outlineLevel="0" collapsed="false">
      <c r="A14" s="4" t="s">
        <v>83</v>
      </c>
      <c r="B14" s="4" t="n">
        <v>1</v>
      </c>
      <c r="C14" s="5" t="s">
        <v>84</v>
      </c>
      <c r="D14" s="4" t="s">
        <v>85</v>
      </c>
      <c r="E14" s="4" t="s">
        <v>86</v>
      </c>
      <c r="F14" s="4" t="s">
        <v>76</v>
      </c>
      <c r="G14" s="4" t="s">
        <v>87</v>
      </c>
      <c r="H14" s="4" t="s">
        <v>88</v>
      </c>
      <c r="I14" s="6" t="n">
        <v>0.04</v>
      </c>
      <c r="J14" s="6" t="n">
        <f aca="false">B14*I14</f>
        <v>0.04</v>
      </c>
      <c r="K14" s="7" t="s">
        <v>15</v>
      </c>
      <c r="L14" s="5" t="s">
        <v>89</v>
      </c>
    </row>
    <row r="15" customFormat="false" ht="23.85" hidden="false" customHeight="false" outlineLevel="0" collapsed="false">
      <c r="A15" s="4" t="s">
        <v>90</v>
      </c>
      <c r="B15" s="4" t="n">
        <v>1</v>
      </c>
      <c r="C15" s="5" t="s">
        <v>91</v>
      </c>
      <c r="D15" s="4" t="s">
        <v>92</v>
      </c>
      <c r="E15" s="4" t="s">
        <v>86</v>
      </c>
      <c r="F15" s="4" t="s">
        <v>93</v>
      </c>
      <c r="G15" s="4" t="s">
        <v>94</v>
      </c>
      <c r="H15" s="4" t="s">
        <v>95</v>
      </c>
      <c r="I15" s="6" t="n">
        <v>0.05</v>
      </c>
      <c r="J15" s="6" t="n">
        <f aca="false">B15*I15</f>
        <v>0.05</v>
      </c>
      <c r="K15" s="7" t="s">
        <v>96</v>
      </c>
      <c r="L15" s="5"/>
    </row>
    <row r="16" customFormat="false" ht="15" hidden="false" customHeight="false" outlineLevel="0" collapsed="false">
      <c r="A16" s="4" t="s">
        <v>97</v>
      </c>
      <c r="B16" s="4" t="n">
        <v>2</v>
      </c>
      <c r="C16" s="5" t="s">
        <v>98</v>
      </c>
      <c r="D16" s="4" t="s">
        <v>99</v>
      </c>
      <c r="E16" s="4" t="s">
        <v>86</v>
      </c>
      <c r="F16" s="4" t="s">
        <v>100</v>
      </c>
      <c r="G16" s="4" t="s">
        <v>101</v>
      </c>
      <c r="H16" s="4" t="s">
        <v>102</v>
      </c>
      <c r="I16" s="6" t="n">
        <v>0.02</v>
      </c>
      <c r="J16" s="6" t="n">
        <f aca="false">B16*I16</f>
        <v>0.04</v>
      </c>
      <c r="K16" s="7" t="s">
        <v>96</v>
      </c>
      <c r="L16" s="5" t="s">
        <v>103</v>
      </c>
    </row>
    <row r="17" customFormat="false" ht="15" hidden="false" customHeight="false" outlineLevel="0" collapsed="false">
      <c r="A17" s="3" t="s">
        <v>104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23.85" hidden="false" customHeight="false" outlineLevel="0" collapsed="false">
      <c r="A18" s="4" t="s">
        <v>105</v>
      </c>
      <c r="B18" s="4" t="n">
        <v>1</v>
      </c>
      <c r="C18" s="5" t="s">
        <v>106</v>
      </c>
      <c r="D18" s="4" t="s">
        <v>107</v>
      </c>
      <c r="E18" s="4" t="s">
        <v>108</v>
      </c>
      <c r="F18" s="4" t="s">
        <v>109</v>
      </c>
      <c r="G18" s="4" t="s">
        <v>110</v>
      </c>
      <c r="H18" s="4" t="s">
        <v>111</v>
      </c>
      <c r="I18" s="6" t="n">
        <v>1.79</v>
      </c>
      <c r="J18" s="6" t="n">
        <f aca="false">B18*I18</f>
        <v>1.79</v>
      </c>
      <c r="K18" s="7" t="s">
        <v>112</v>
      </c>
      <c r="L18" s="5" t="s">
        <v>113</v>
      </c>
    </row>
    <row r="19" customFormat="false" ht="15" hidden="false" customHeight="false" outlineLevel="0" collapsed="false">
      <c r="A19" s="4" t="s">
        <v>114</v>
      </c>
      <c r="B19" s="4" t="n">
        <v>1</v>
      </c>
      <c r="C19" s="5" t="s">
        <v>115</v>
      </c>
      <c r="D19" s="4" t="s">
        <v>116</v>
      </c>
      <c r="E19" s="4" t="s">
        <v>86</v>
      </c>
      <c r="F19" s="4" t="s">
        <v>93</v>
      </c>
      <c r="G19" s="4" t="s">
        <v>117</v>
      </c>
      <c r="H19" s="4" t="s">
        <v>118</v>
      </c>
      <c r="I19" s="6" t="n">
        <v>0.05</v>
      </c>
      <c r="J19" s="6" t="n">
        <f aca="false">B19*I19</f>
        <v>0.05</v>
      </c>
      <c r="K19" s="7" t="s">
        <v>119</v>
      </c>
      <c r="L19" s="5"/>
    </row>
    <row r="20" customFormat="false" ht="15" hidden="false" customHeight="false" outlineLevel="0" collapsed="false">
      <c r="A20" s="3" t="s">
        <v>120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23.85" hidden="false" customHeight="false" outlineLevel="0" collapsed="false">
      <c r="A21" s="4" t="s">
        <v>121</v>
      </c>
      <c r="B21" s="4" t="n">
        <v>1</v>
      </c>
      <c r="C21" s="5" t="s">
        <v>122</v>
      </c>
      <c r="D21" s="4" t="s">
        <v>123</v>
      </c>
      <c r="E21" s="4" t="s">
        <v>124</v>
      </c>
      <c r="F21" s="4" t="s">
        <v>26</v>
      </c>
      <c r="G21" s="4" t="s">
        <v>125</v>
      </c>
      <c r="H21" s="4" t="s">
        <v>126</v>
      </c>
      <c r="I21" s="6" t="n">
        <v>0.05</v>
      </c>
      <c r="J21" s="6" t="n">
        <f aca="false">B21*I21</f>
        <v>0.05</v>
      </c>
      <c r="K21" s="7" t="s">
        <v>119</v>
      </c>
      <c r="L21" s="5" t="s">
        <v>127</v>
      </c>
    </row>
    <row r="22" customFormat="false" ht="23.85" hidden="false" customHeight="false" outlineLevel="0" collapsed="false">
      <c r="A22" s="4" t="s">
        <v>128</v>
      </c>
      <c r="B22" s="4" t="n">
        <v>1</v>
      </c>
      <c r="C22" s="5" t="s">
        <v>129</v>
      </c>
      <c r="D22" s="4" t="s">
        <v>130</v>
      </c>
      <c r="E22" s="4" t="s">
        <v>124</v>
      </c>
      <c r="F22" s="4" t="s">
        <v>131</v>
      </c>
      <c r="G22" s="4" t="s">
        <v>132</v>
      </c>
      <c r="H22" s="4" t="s">
        <v>133</v>
      </c>
      <c r="I22" s="6" t="n">
        <v>0.4</v>
      </c>
      <c r="J22" s="6" t="n">
        <f aca="false">B22*I22</f>
        <v>0.4</v>
      </c>
      <c r="K22" s="7" t="s">
        <v>119</v>
      </c>
      <c r="L22" s="5" t="s">
        <v>134</v>
      </c>
    </row>
    <row r="23" customFormat="false" ht="15" hidden="false" customHeight="false" outlineLevel="0" collapsed="false">
      <c r="A23" s="4" t="s">
        <v>135</v>
      </c>
      <c r="B23" s="4" t="n">
        <v>1</v>
      </c>
      <c r="C23" s="5" t="s">
        <v>136</v>
      </c>
      <c r="D23" s="4" t="s">
        <v>137</v>
      </c>
      <c r="E23" s="4" t="s">
        <v>86</v>
      </c>
      <c r="F23" s="4" t="s">
        <v>100</v>
      </c>
      <c r="G23" s="4" t="s">
        <v>138</v>
      </c>
      <c r="H23" s="4" t="s">
        <v>139</v>
      </c>
      <c r="I23" s="6" t="n">
        <v>0.02</v>
      </c>
      <c r="J23" s="6" t="n">
        <f aca="false">B23*I23</f>
        <v>0.02</v>
      </c>
      <c r="K23" s="7" t="s">
        <v>119</v>
      </c>
      <c r="L23" s="5"/>
    </row>
    <row r="24" customFormat="false" ht="15" hidden="false" customHeight="false" outlineLevel="0" collapsed="false">
      <c r="A24" s="4" t="s">
        <v>140</v>
      </c>
      <c r="B24" s="4" t="n">
        <v>1</v>
      </c>
      <c r="C24" s="5" t="s">
        <v>141</v>
      </c>
      <c r="D24" s="4" t="s">
        <v>142</v>
      </c>
      <c r="E24" s="4" t="s">
        <v>86</v>
      </c>
      <c r="F24" s="4" t="s">
        <v>100</v>
      </c>
      <c r="G24" s="4" t="s">
        <v>143</v>
      </c>
      <c r="H24" s="4" t="s">
        <v>144</v>
      </c>
      <c r="I24" s="6" t="n">
        <v>0.02</v>
      </c>
      <c r="J24" s="6" t="n">
        <f aca="false">B24*I24</f>
        <v>0.02</v>
      </c>
      <c r="K24" s="7" t="s">
        <v>119</v>
      </c>
      <c r="L24" s="5"/>
    </row>
    <row r="25" customFormat="false" ht="15" hidden="false" customHeight="false" outlineLevel="0" collapsed="false">
      <c r="A25" s="4" t="s">
        <v>145</v>
      </c>
      <c r="B25" s="4" t="n">
        <v>1</v>
      </c>
      <c r="C25" s="5" t="s">
        <v>146</v>
      </c>
      <c r="D25" s="4" t="s">
        <v>147</v>
      </c>
      <c r="E25" s="4" t="s">
        <v>86</v>
      </c>
      <c r="F25" s="4" t="s">
        <v>100</v>
      </c>
      <c r="G25" s="4" t="s">
        <v>148</v>
      </c>
      <c r="H25" s="4" t="s">
        <v>149</v>
      </c>
      <c r="I25" s="6" t="n">
        <v>0.02</v>
      </c>
      <c r="J25" s="6" t="n">
        <f aca="false">B25*I25</f>
        <v>0.02</v>
      </c>
      <c r="K25" s="7" t="s">
        <v>119</v>
      </c>
      <c r="L25" s="5"/>
    </row>
    <row r="26" customFormat="false" ht="15" hidden="false" customHeight="false" outlineLevel="0" collapsed="false">
      <c r="A26" s="4" t="s">
        <v>150</v>
      </c>
      <c r="B26" s="4" t="n">
        <v>1</v>
      </c>
      <c r="C26" s="5" t="s">
        <v>151</v>
      </c>
      <c r="D26" s="4" t="s">
        <v>116</v>
      </c>
      <c r="E26" s="4" t="s">
        <v>86</v>
      </c>
      <c r="F26" s="4" t="s">
        <v>93</v>
      </c>
      <c r="G26" s="4" t="s">
        <v>117</v>
      </c>
      <c r="H26" s="4" t="s">
        <v>118</v>
      </c>
      <c r="I26" s="6" t="n">
        <v>0.05</v>
      </c>
      <c r="J26" s="6" t="n">
        <f aca="false">B26*I26</f>
        <v>0.05</v>
      </c>
      <c r="K26" s="7" t="s">
        <v>119</v>
      </c>
      <c r="L26" s="5"/>
    </row>
    <row r="27" customFormat="false" ht="15" hidden="false" customHeight="false" outlineLevel="0" collapsed="false">
      <c r="A27" s="3" t="s">
        <v>152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4" t="s">
        <v>153</v>
      </c>
      <c r="B28" s="4" t="n">
        <v>2</v>
      </c>
      <c r="C28" s="5" t="s">
        <v>154</v>
      </c>
      <c r="D28" s="4" t="s">
        <v>155</v>
      </c>
      <c r="E28" s="4" t="s">
        <v>86</v>
      </c>
      <c r="F28" s="4" t="s">
        <v>100</v>
      </c>
      <c r="G28" s="4" t="s">
        <v>156</v>
      </c>
      <c r="H28" s="4" t="s">
        <v>157</v>
      </c>
      <c r="I28" s="6" t="n">
        <v>0.02</v>
      </c>
      <c r="J28" s="6" t="n">
        <f aca="false">B28*I28</f>
        <v>0.04</v>
      </c>
      <c r="K28" s="7" t="s">
        <v>119</v>
      </c>
      <c r="L28" s="5" t="s">
        <v>158</v>
      </c>
    </row>
    <row r="29" customFormat="false" ht="15" hidden="false" customHeight="false" outlineLevel="0" collapsed="false">
      <c r="A29" s="3" t="s">
        <v>159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4" t="s">
        <v>160</v>
      </c>
      <c r="B30" s="4" t="n">
        <v>1</v>
      </c>
      <c r="C30" s="5" t="s">
        <v>161</v>
      </c>
      <c r="D30" s="4" t="s">
        <v>162</v>
      </c>
      <c r="E30" s="4" t="s">
        <v>163</v>
      </c>
      <c r="F30" s="4" t="s">
        <v>164</v>
      </c>
      <c r="G30" s="4" t="s">
        <v>165</v>
      </c>
      <c r="H30" s="4" t="s">
        <v>166</v>
      </c>
      <c r="I30" s="6" t="n">
        <v>0.15</v>
      </c>
      <c r="J30" s="6" t="n">
        <f aca="false">B30*I30</f>
        <v>0.15</v>
      </c>
      <c r="K30" s="7" t="s">
        <v>119</v>
      </c>
      <c r="L30" s="5" t="s">
        <v>167</v>
      </c>
    </row>
    <row r="31" customFormat="false" ht="15" hidden="false" customHeight="false" outlineLevel="0" collapsed="false">
      <c r="A31" s="4" t="s">
        <v>168</v>
      </c>
      <c r="B31" s="4" t="n">
        <v>1</v>
      </c>
      <c r="C31" s="5" t="s">
        <v>169</v>
      </c>
      <c r="D31" s="4" t="s">
        <v>170</v>
      </c>
      <c r="E31" s="4" t="s">
        <v>86</v>
      </c>
      <c r="F31" s="4" t="s">
        <v>100</v>
      </c>
      <c r="G31" s="4" t="s">
        <v>171</v>
      </c>
      <c r="H31" s="4" t="s">
        <v>172</v>
      </c>
      <c r="I31" s="6" t="n">
        <v>0.02</v>
      </c>
      <c r="J31" s="6" t="n">
        <f aca="false">B31*I31</f>
        <v>0.02</v>
      </c>
      <c r="K31" s="7" t="s">
        <v>96</v>
      </c>
      <c r="L31" s="5" t="s">
        <v>173</v>
      </c>
    </row>
    <row r="32" customFormat="false" ht="15" hidden="false" customHeight="false" outlineLevel="0" collapsed="false">
      <c r="A32" s="8"/>
      <c r="B32" s="8"/>
      <c r="C32" s="9"/>
      <c r="D32" s="8"/>
      <c r="E32" s="8"/>
      <c r="F32" s="8"/>
      <c r="G32" s="8"/>
      <c r="H32" s="10" t="s">
        <v>174</v>
      </c>
      <c r="I32" s="10"/>
      <c r="J32" s="11" t="n">
        <f aca="false">SUM(J3:J31)</f>
        <v>93.9668</v>
      </c>
      <c r="K32" s="9"/>
      <c r="L32" s="9"/>
    </row>
  </sheetData>
  <mergeCells count="7">
    <mergeCell ref="A2:L2"/>
    <mergeCell ref="A8:L8"/>
    <mergeCell ref="A11:L11"/>
    <mergeCell ref="A17:L17"/>
    <mergeCell ref="A20:L20"/>
    <mergeCell ref="A27:L27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2" t="s">
        <v>175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176</v>
      </c>
    </row>
    <row r="4" customFormat="false" ht="15" hidden="false" customHeight="false" outlineLevel="0" collapsed="false">
      <c r="A4" s="13" t="s">
        <v>177</v>
      </c>
    </row>
    <row r="5" customFormat="false" ht="15" hidden="false" customHeight="false" outlineLevel="0" collapsed="false">
      <c r="A5" s="13" t="s">
        <v>178</v>
      </c>
    </row>
    <row r="6" customFormat="false" ht="15" hidden="false" customHeight="false" outlineLevel="0" collapsed="false">
      <c r="A6" s="13" t="s">
        <v>179</v>
      </c>
    </row>
    <row r="7" customFormat="false" ht="15" hidden="false" customHeight="false" outlineLevel="0" collapsed="false">
      <c r="A7" s="13" t="s">
        <v>180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4" t="s">
        <v>181</v>
      </c>
    </row>
    <row r="10" customFormat="false" ht="15" hidden="false" customHeight="false" outlineLevel="0" collapsed="false">
      <c r="A10" s="13" t="s">
        <v>182</v>
      </c>
    </row>
    <row r="11" customFormat="false" ht="15" hidden="false" customHeight="false" outlineLevel="0" collapsed="false">
      <c r="A11" s="13" t="s">
        <v>183</v>
      </c>
    </row>
    <row r="12" customFormat="false" ht="15" hidden="false" customHeight="false" outlineLevel="0" collapsed="false">
      <c r="A12" s="13" t="s">
        <v>184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4" t="s">
        <v>185</v>
      </c>
    </row>
    <row r="15" customFormat="false" ht="15" hidden="false" customHeight="false" outlineLevel="0" collapsed="false">
      <c r="A15" s="13" t="s">
        <v>186</v>
      </c>
    </row>
    <row r="16" customFormat="false" ht="15" hidden="false" customHeight="false" outlineLevel="0" collapsed="false">
      <c r="A16" s="13" t="s">
        <v>187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4" t="s">
        <v>188</v>
      </c>
    </row>
    <row r="19" customFormat="false" ht="15" hidden="false" customHeight="false" outlineLevel="0" collapsed="false">
      <c r="A19" s="13" t="s">
        <v>189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4" t="s">
        <v>190</v>
      </c>
    </row>
    <row r="22" customFormat="false" ht="15" hidden="false" customHeight="false" outlineLevel="0" collapsed="false">
      <c r="A22" s="13" t="s">
        <v>191</v>
      </c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4" t="s">
        <v>192</v>
      </c>
    </row>
    <row r="25" customFormat="false" ht="15" hidden="false" customHeight="false" outlineLevel="0" collapsed="false">
      <c r="A25" s="13" t="s">
        <v>193</v>
      </c>
    </row>
    <row r="26" customFormat="false" ht="15" hidden="false" customHeight="false" outlineLevel="0" collapsed="false">
      <c r="A26" s="1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2026-06-22T07:16:39Z</dcterms:created>
  <dc:creator>openpyxl</dc:creator>
  <dc:description/>
  <dc:language>en-US</dc:language>
  <cp:lastModifiedBy/>
  <dcterms:modified xsi:type="dcterms:W3CDTF">2026-06-22T07:16:39Z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