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Flags &amp; Deci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<sst xmlns="http://schemas.openxmlformats.org/spreadsheetml/2006/main" count="146" uniqueCount="131">
  <si>
    <t xml:space="preserve">Ref(s)</t>
  </si>
  <si>
    <t xml:space="preserve">Qty</t>
  </si>
  <si>
    <t xml:space="preserve">Function</t>
  </si>
  <si>
    <t xml:space="preserve">Value</t>
  </si>
  <si>
    <t xml:space="preserve">Package / Footprint</t>
  </si>
  <si>
    <t xml:space="preserve">Mfr</t>
  </si>
  <si>
    <t xml:space="preserve">MPN (orderable)</t>
  </si>
  <si>
    <t xml:space="preserve">≈$/ea*</t>
  </si>
  <si>
    <t xml:space="preserve">Ext $</t>
  </si>
  <si>
    <t xml:space="preserve">Status</t>
  </si>
  <si>
    <t xml:space="preserve">Sourcing note / flag</t>
  </si>
  <si>
    <t xml:space="preserve">U1</t>
  </si>
  <si>
    <t xml:space="preserve">MCU — ATtiny1616 (tinyAVR-1): 4 independent HW-PWM LED drives, dome-button input, I2C master to JP1 + edge teeth</t>
  </si>
  <si>
    <t xml:space="preserve">—</t>
  </si>
  <si>
    <t xml:space="preserve">20-VQFN 3×3×0.9mm (EP)</t>
  </si>
  <si>
    <t xml:space="preserve">Microchip</t>
  </si>
  <si>
    <t xml:space="preserve">ATTINY1616-MFR</t>
  </si>
  <si>
    <t xml:space="preserve">LOCKED</t>
  </si>
  <si>
    <t xml:space="preserve">ATTINY1616-MFR (T&amp;R) / ATTINY1616-MF (cut-tape). 1.8–5.5 V. EP→GND. Pinout VERIFIED vs DS40002204A (VQFN-20, pad N = pin N). Map: PA0=UPDI; PA1/PA2=I2C SDA/SCL (ALTERNATE TWI — set PORTMUX TWIROUTEA; default SDA/SCL on PB1/PB0 are LED drives); PA7=dome button; PB0/PB1/PB2 = drive D3/D4/D5 = TCA0 split WO0/WO1/WO2; PC0 = drive D2 = TCB0 PWM (set PORTMUX TCBROUTEA → alt). All four LEDs are independent hardware PWM; PB3 freed.</t>
  </si>
  <si>
    <t xml:space="preserve">D1</t>
  </si>
  <si>
    <t xml:space="preserve">Solar blocking/charge diode (VIN→VS, blocks reverse drain in dark)</t>
  </si>
  <si>
    <t xml:space="preserve">Schottky, Vf≈0.3–0.6 V</t>
  </si>
  <si>
    <t xml:space="preserve">SOD-123</t>
  </si>
  <si>
    <t xml:space="preserve">onsemi</t>
  </si>
  <si>
    <t xml:space="preserve">MMSD301T1G</t>
  </si>
  <si>
    <t xml:space="preserve">Low-Vf Schottky — good for the ~4 V solar budget. In stock, cheap.</t>
  </si>
  <si>
    <t xml:space="preserve">PV1</t>
  </si>
  <si>
    <t xml:space="preserve">Indoor solar cell (charges the supercap stack)</t>
  </si>
  <si>
    <t xml:space="preserve">Voc 4.15 V, 184 mW, mono</t>
  </si>
  <si>
    <t xml:space="preserve">custom outline</t>
  </si>
  <si>
    <t xml:space="preserve">ANYSOLAR (IXOLAR)</t>
  </si>
  <si>
    <t xml:space="preserve">SM141K06L</t>
  </si>
  <si>
    <t xml:space="preserve">⚠ FOOTPRINT: board assumes 42×23 mm; datasheet lists SM141K06L cell area ~21.5×6.6 mm — verify true module outline + terminal positions before fab. NOT reflow-safe (hand-solder ≤260 °C/2 s).</t>
  </si>
  <si>
    <t xml:space="preserve">SC1, SC2</t>
  </si>
  <si>
    <t xml:space="preserve">Energy storage — two cells in SERIES (VS–MID, MID–GND) = 5.5 V / ~150 mF stack</t>
  </si>
  <si>
    <t xml:space="preserve">2.75 V, 300 mF (each)</t>
  </si>
  <si>
    <t xml:space="preserve">prismatic SMD, 28.5×17×1 mm</t>
  </si>
  <si>
    <t xml:space="preserve">SCHURTER</t>
  </si>
  <si>
    <t xml:space="preserve">3-153-434</t>
  </si>
  <si>
    <t xml:space="preserve">Part correct: SCHURTER 3-153-434 (WS10 case, 2.75 V/300 mF; two in series = 5.5 V/150 mF). FOOTPRINT VERIFIED to the WS10 recommended land — two 3.5×3.5 mm pads on a diagonal, 36.5×16 mm span (centres ±16.5/±6.25). The 36.5 mm pad span is correct: the WS10 terminals extend ~2.75 mm past the 28.5 mm body, so pads reaching beyond the body is intended. NOT reflow-safe (hand-solder, manual). Observe polarity (diagonal +/-).</t>
  </si>
  <si>
    <t xml:space="preserve">D2, D3, D4, D5</t>
  </si>
  <si>
    <t xml:space="preserve">Glow LEDs — reverse-mount, emit through the bare-FR4 'DRH' window</t>
  </si>
  <si>
    <t xml:space="preserve">Amber 617 nm, Vf≈2.25 V</t>
  </si>
  <si>
    <t xml:space="preserve">PointLED, 2-SMD flat-lead, ~3.4×1.25 mm</t>
  </si>
  <si>
    <t xml:space="preserve">ams OSRAM</t>
  </si>
  <si>
    <t xml:space="preserve">LA P47F-V2BB-24-3B5A-30-R18-Z</t>
  </si>
  <si>
    <t xml:space="preserve">RESOLVED (flag #6): in-stock bin chosen — LA P47F-V2BB-24-3B5A-30-R18-Z (ams OSRAM reverse-mount amber, ~11k stock, MOQ 1, cut tape). Same P47F window footprint as the original spec; this is the -3B5A bin so Vf ≈ 2.25 V (vs ≈2.0 V for -3A4B). With the 1 kΩ ballast: I ≈ (VS−Vf)/1k ≈ 3.25 mA at 5.5 V full charge, ~1.75 mA mid-rail, tapering to cutoff as the rail nears ~2.25 V — slightly earlier extinguish than the 2.0 V bin, still well under rating. ADC-scale PWM in firmware to flatten.</t>
  </si>
  <si>
    <t xml:space="preserve">R1, R2, R3, R4</t>
  </si>
  <si>
    <t xml:space="preserve">LED ballast — one per LED (independent). Sets each LED's current; per-LED low-side PWM</t>
  </si>
  <si>
    <t xml:space="preserve">1 kΩ, ±1%, 25 ppm/°C</t>
  </si>
  <si>
    <t xml:space="preserve">1206</t>
  </si>
  <si>
    <t xml:space="preserve">Vishay Dale</t>
  </si>
  <si>
    <t xml:space="preserve">TNPW12061K00FEEA</t>
  </si>
  <si>
    <t xml:space="preserve">LOCKED: Vishay Dale TNPW12061K00FEEA — 1 kΩ ±1%, thin film, 25 ppm/°C, 1206 (cut tape 541-TNPW12061K00FEEACT-ND). Premium precision line w/ tolerance + temp margin; 0.52 W rating is huge headroom (LED ballast dissipation &lt;5 µW). Each LED has its OWN cathode (K2–K5) + ballast: I ≈ (VS−Vf)/1k ≈ 3.5 mA @5.5 V full charge, ~1.8 mA mid-rail, ~0.7 mA near-empty — well under LED rating; brightness/runtime is PWM-trimmable in firmware (680 Ω = brighter, 2.2 kΩ = dimmer/longer if you re-spin). Same-spec cheaper drop-ins: Bourns CRT1206AFY-1001ELF (25 ppm, $0.10) · KOA RN73R2BTTD1001F50 (50 ppm, $0.19).</t>
  </si>
  <si>
    <t xml:space="preserve">C1</t>
  </si>
  <si>
    <t xml:space="preserve">MCU decoupling (VS→GND, next to U1 VDD)</t>
  </si>
  <si>
    <t xml:space="preserve">0.1 µF, X7R, 50 V, ±10%</t>
  </si>
  <si>
    <t xml:space="preserve">0805</t>
  </si>
  <si>
    <t xml:space="preserve">Samsung</t>
  </si>
  <si>
    <t xml:space="preserve">CL21B104KBCWPNC</t>
  </si>
  <si>
    <t xml:space="preserve">LOCKED: Samsung CL21B104KBCWPNC — 0.1 µF X7R, 50 V, ±10%, 0805, AEC-Q200, active (cut tape 1276-6557-1-ND). MCU VDD decoupler — place tight to U1 pin 4. Both caps moved to the Samsung CL line for a single active AEC family (the Murata GCM 0.1 µF/50 V was NRND). 50 V → near-zero DC-bias loss at the 5.5 V rail. Package is 0805 (board pads; 1206 would collide with the J1 pads).</t>
  </si>
  <si>
    <t xml:space="preserve">C2, C3</t>
  </si>
  <si>
    <t xml:space="preserve">VS-rail HF bypass (VS→GND, supercaps are the bulk)</t>
  </si>
  <si>
    <t xml:space="preserve">1 µF, X7R, 50 V, ±10%</t>
  </si>
  <si>
    <t xml:space="preserve">CL21B105KBFVPNE</t>
  </si>
  <si>
    <t xml:space="preserve">LOCKED: Samsung CL21B105KBFVPNE — 1 µF X7R, 50 V, ±10%, 0805, AEC-Q200, active (cut tape 1276-6606-1-ND). Same Samsung CL family as C1 (consistent set). VS-rail HF bypass — the supercaps carry the bulk, these only smooth the LED-PWM switching edges.</t>
  </si>
  <si>
    <t xml:space="preserve">SW1</t>
  </si>
  <si>
    <t xml:space="preserve">Tactile dome — user button: C→PA7 (MCU input), ring→GND</t>
  </si>
  <si>
    <t xml:space="preserve">12 mm, 340 g, N.O. SPST</t>
  </si>
  <si>
    <t xml:space="preserve">Ø12 mm metal snap dome</t>
  </si>
  <si>
    <t xml:space="preserve">Snaptron</t>
  </si>
  <si>
    <t xml:space="preserve">F12340</t>
  </si>
  <si>
    <t xml:space="preserve">Ships loose or on Peel-N-Place tape; RETAINED BY AN OVERLAY/ADHESIVE, not soldered — separate from the QFN reflow. Vent hole already in the layout. (FD12340 = adhesive-mounted variant.) Now an independent button to PA7 — not the LED return, not via JP1.</t>
  </si>
  <si>
    <t xml:space="preserve">U2</t>
  </si>
  <si>
    <t xml:space="preserve">Supercap balancer — dual SAB MOSFET across the supercap MID node (auto leakage-current balancing; keeps each cell under its 2.75 V rating)</t>
  </si>
  <si>
    <t xml:space="preserve">Dual SAB MOSFET, Vt 2.50 V</t>
  </si>
  <si>
    <t xml:space="preserve">SOIC-8 (SAL)</t>
  </si>
  <si>
    <t xml:space="preserve">Advanced Linear Devices</t>
  </si>
  <si>
    <t xml:space="preserve">ALD910025SALI</t>
  </si>
  <si>
    <t xml:space="preserve">LOCKED: ALD910025SALI — ALD9100xx DUAL SAB MOSFET, SOIC-8 (DK# ALD910025SALI-ND). Pinout VERIFIED vs the ALD810025/ALD910025 datasheet (p.2, two-supercap connection): M1 across SC1 (G+D pins 2,3 → VS; S pin 4 → MID); M2 across SC2 (G+D pins 6,7 → MID; S → GND); V+ pin 8 → VS; V−/IC pins 1,5 → GND — matches the board nets. Vt 2.50 V suits the two series 2.75 V cells. NOT the ALD810025 (that is the QUAD / 16-pin sibling in the same datasheet). In stock, tube, MOQ 1.</t>
  </si>
  <si>
    <t xml:space="preserve">Parts subtotal (per board, indicative)</t>
  </si>
  <si>
    <t xml:space="preserve">PCB features — no part to buy</t>
  </si>
  <si>
    <t xml:space="preserve">TP1–TP7</t>
  </si>
  <si>
    <t xml:space="preserve">Test pads — 7-pad row: TP1=VS, TP7=VIN, the other five = GND probes. (Was VS/RET/RETD/LRET/GND — return nets removed in the per-LED reroute.)</t>
  </si>
  <si>
    <t xml:space="preserve">J1</t>
  </si>
  <si>
    <t xml:space="preserve">UPDI programming pads (UPDI/VCC/GND) — bare flat pads. Needs an external UPDI programmer to flash U1 (e.g. Microchip SNAP/PICkit, or a jtag2updi/serial-UPDI adapter).</t>
  </si>
  <si>
    <t xml:space="preserve">JP1</t>
  </si>
  <si>
    <t xml:space="preserve">3-pin I2C breakout header (pin1 SDA / pin2 SCL / pin3 GND) — bare pads. (Was a RET/RETD/GND solder jumper; repurposed to I2C.) Same bus is also on the edge castellations.</t>
  </si>
  <si>
    <t xml:space="preserve">CAST ×5</t>
  </si>
  <si>
    <t xml:space="preserve">Castellated edge teeth (right edge, plated half-holes Ø0.9 mm): VS / SDA / SCL / GND / GND — solder-down module + I2C/power bus. ⚠ OSH Park does NOT officially support castellations (half-holes can tear) — ignore for the v0 proto; for the PCBWay locked run, enable the castellated-edge / half-hole option.</t>
  </si>
  <si>
    <t xml:space="preserve">*≈$/ea is indicative, qty 1–10 USD (Q1 2026), for a board-cost sanity check only — confirm live pricing at order. Supercaps + solar cell dominate cost.</t>
  </si>
  <si>
    <t xml:space="preserve">#</t>
  </si>
  <si>
    <t xml:space="preserve">Item</t>
  </si>
  <si>
    <t xml:space="preserve">Type</t>
  </si>
  <si>
    <t xml:space="preserve">What's needed / what was decided</t>
  </si>
  <si>
    <t xml:space="preserve">R1–R4 ballast value</t>
  </si>
  <si>
    <t xml:space="preserve">RESOLVED (value)</t>
  </si>
  <si>
    <t xml:space="preserve">RESOLVED. R1–R4 = Vishay Dale TNPW12061K00FEEA (1 kΩ ±1%, thin film, 25 ppm/°C, 1206, AEC-Q200). Per-LED reroute: each LED has its own cathode + ballast, so current is set per-LED (~3.5 mA @5.5 V full charge → ~0.7 mA near-empty) and brightness is PWM-trimmable in firmware. Cheaper equivalents on the table: Bourns CRT1206AFY-1001ELF, KOA RN73R2BTTD1001F50.</t>
  </si>
  <si>
    <t xml:space="preserve">C1 value</t>
  </si>
  <si>
    <t xml:space="preserve">RESOLVED. C1 = Samsung CL21B104KBCWPNC (0.1 µF X7R, 50 V, ±10%, 0805, AEC-Q200, active). MCU VDD decoupler tight to U1 pin 4. Moved off Murata GCM (NRND) to the Samsung CL line so both caps share one active AEC family.</t>
  </si>
  <si>
    <t xml:space="preserve">C2 / C3 value</t>
  </si>
  <si>
    <t xml:space="preserve">RESOLVED. C2/C3 = Samsung CL21B105KBFVPNE (1 µF X7R, 50 V, ±10%, 0805, AEC-Q200, active) — same Samsung CL family as C1. VS-rail HF bypass for LED-switching transients.</t>
  </si>
  <si>
    <t xml:space="preserve">SC1/SC2 footprint</t>
  </si>
  <si>
    <t xml:space="preserve">RESOLVED (footprint)</t>
  </si>
  <si>
    <t xml:space="preserve">RESOLVED. Footprint matches the SCHURTER WS10 recommended solder land (two 3.5×3.5 mm pads on a diagonal, 36.5×16 mm span; centres ±16.5/±6.25). The 36.5 mm pad span is correct — WS10 terminals extend ~2.75 mm beyond the 28.5 mm body, so pads reaching past the body is intended, not a misfit. Series wiring VS→SC1(P→N)→MID→SC2(P→N)→GND confirmed. (The earlier 'pads ~40 mm apart, won't seat' note misread the recommended land — cleared. Just observe the diagonal +/- polarity at assembly.)</t>
  </si>
  <si>
    <t xml:space="preserve">PV1 footprint</t>
  </si>
  <si>
    <t xml:space="preserve">VERIFY (footprint)</t>
  </si>
  <si>
    <t xml:space="preserve">Part decided (ANYSOLAR SM141K06L, Voc 4.15 V). Footprint assumes 42×23 mm but the datasheet cell area is ~21.5×6.6 mm — confirm the true overall module outline and terminal/pad positions before fab. Not reflow-safe: hand-solder.</t>
  </si>
  <si>
    <t xml:space="preserve">D2–D5 availability</t>
  </si>
  <si>
    <t xml:space="preserve">RESOLVED (sourcing)</t>
  </si>
  <si>
    <t xml:space="preserve">RESOLVED. D2–D5 = LA P47F-V2BB-24-3B5A-30-R18-Z (ams OSRAM reverse-mount amber, in stock ~11k, MOQ 1) — the -3B5A bin (Vf ≈ 2.25 V), same P47F window footprint. Ballast (1 kΩ): ~3.25 mA at 5.5 V full charge, tapering to cutoff near ~2.25 V; trim in firmware.</t>
  </si>
  <si>
    <t xml:space="preserve">SW1 retention</t>
  </si>
  <si>
    <t xml:space="preserve">BUILD note</t>
  </si>
  <si>
    <t xml:space="preserve">F12340 domes are not soldered — they're held by an adhesive overlay or Peel-N-Place tape over the dome + GND ring. Plan a top sticker/overlay, or order the FD-/adhesive variant. Vent hole already in the layout.</t>
  </si>
  <si>
    <t xml:space="preserve">U1 programming</t>
  </si>
  <si>
    <t xml:space="preserve">ATtiny1616 flashes over UPDI via the J1 pads. You'll need a UPDI programmer (Microchip SNAP/PICkit 4/5, or serial-UPDI / jtag2updi). Not a BOM line, but required to bring the board up.</t>
  </si>
  <si>
    <t xml:space="preserve">9</t>
  </si>
  <si>
    <t xml:space="preserve">U1 PB3 / 4th PWM channel</t>
  </si>
  <si>
    <t xml:space="preserve">RESOLVED (pin map)</t>
  </si>
  <si>
    <t xml:space="preserve">RESOLVED. Drives reassigned so all four LEDs get independent hardware PWM: D3/D4/D5 ← PB0/PB1/PB2 = TCA0 split WO0/WO1/WO2; D2 ← PC0 = TCB0 PWM (alternate route). PB3 (only TCA0 WO0-alternate, never WO3) is now unused/freed. Routing: the right-edge escape fan shifted up one pad-row; DRC re-verified clean (all nets single-island, 0 shorts, confirmed on the emitted gerber). Firmware: match TCB0's PWM period to TCA0's so D2 tracks the other three; all four duty values are updatable in one timer ISR.</t>
  </si>
  <si>
    <t xml:space="preserve">10</t>
  </si>
  <si>
    <t xml:space="preserve">I2C pin position</t>
  </si>
  <si>
    <t xml:space="preserve">SDA=PA1, SCL=PA2 — the ALTERNATE TWI0 position (default SDA/SCL on PB1/PB0 are LED drives). Two PORTMUX routes are needed in firmware: TWI0 → alternate (I2C on PA1/PA2) and TCB0 → alternate (PWM out on PC0 for D2). JP1 header + edge teeth both carry the I2C bus.</t>
  </si>
  <si>
    <t xml:space="preserve">11</t>
  </si>
  <si>
    <t xml:space="preserve">Fab plan</t>
  </si>
  <si>
    <t xml:space="preserve">PROCESS</t>
  </si>
  <si>
    <t xml:space="preserve">v0 proto: OSH Park (2-layer, 0.8 mm, ENIG, purple mask, MOQ 3) — validate electrical + mechanical, iterate cheaply. Locked design: PCBWay 0.8 mm, matte-black soldermask, ENIG, MOQ 5 — enable the castellated-edge option.</t>
  </si>
  <si>
    <t xml:space="preserve">12</t>
  </si>
  <si>
    <t xml:space="preserve">U2 supercap balancer</t>
  </si>
  <si>
    <t xml:space="preserve">RESOLVED (part + pinout)</t>
  </si>
  <si>
    <t xml:space="preserve">RESOLVED. U2 = ALD910025SALI (ALD9100xx dual SAB MOSFET, SOIC-8). Pinout verified against the datasheet two-supercap connection diagram — matches the board nets (M1 across SC1, M2 across SC2; V+ pin 8 → VS; V−/IC pins 1,5 → GND). Added to the BOM as a line. NOT the ALD810025 (quad / 16-pin sibling).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</si>
</sst>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5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4"/>
    <col collapsed="false" customWidth="true" hidden="false" outlineLevel="0" max="9" min="8" style="1" width="9"/>
    <col collapsed="false" customWidth="true" hidden="false" outlineLevel="0" max="10" min="10" style="1" width="15"/>
    <col collapsed="false" customWidth="true" hidden="false" outlineLevel="0" max="11" min="11" style="1" width="5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21.75" hidden="false" customHeight="true" outlineLevel="0" collapsed="false">
      <c r="A2" s="3" t="s">
        <v>11</v>
      </c>
      <c r="B2" s="4" t="n">
        <v>1</v>
      </c>
      <c r="C2" s="5" t="s">
        <v>12</v>
      </c>
      <c r="D2" s="5" t="s">
        <v>13</v>
      </c>
      <c r="E2" s="5" t="s">
        <v>14</v>
      </c>
      <c r="F2" s="3" t="s">
        <v>15</v>
      </c>
      <c r="G2" s="3" t="s">
        <v>16</v>
      </c>
      <c r="H2" s="6" t="n">
        <v>0.95</v>
      </c>
      <c r="I2" s="6" t="n">
        <f aca="false">B2*H2</f>
        <v>0.95</v>
      </c>
      <c r="J2" s="7" t="s">
        <v>17</v>
      </c>
      <c r="K2" s="5" t="s">
        <v>18</v>
      </c>
    </row>
    <row r="3" customFormat="false" ht="21.75" hidden="false" customHeight="true" outlineLevel="0" collapsed="false">
      <c r="A3" s="3" t="s">
        <v>19</v>
      </c>
      <c r="B3" s="4" t="n">
        <v>1</v>
      </c>
      <c r="C3" s="5" t="s">
        <v>20</v>
      </c>
      <c r="D3" s="5" t="s">
        <v>21</v>
      </c>
      <c r="E3" s="5" t="s">
        <v>22</v>
      </c>
      <c r="F3" s="3" t="s">
        <v>23</v>
      </c>
      <c r="G3" s="3" t="s">
        <v>24</v>
      </c>
      <c r="H3" s="6" t="n">
        <v>0.4</v>
      </c>
      <c r="I3" s="6" t="n">
        <f aca="false">B3*H3</f>
        <v>0.4</v>
      </c>
      <c r="J3" s="7" t="s">
        <v>17</v>
      </c>
      <c r="K3" s="5" t="s">
        <v>25</v>
      </c>
    </row>
    <row r="4" customFormat="false" ht="42.75" hidden="false" customHeight="true" outlineLevel="0" collapsed="false">
      <c r="A4" s="3" t="s">
        <v>26</v>
      </c>
      <c r="B4" s="4" t="n">
        <v>1</v>
      </c>
      <c r="C4" s="5" t="s">
        <v>27</v>
      </c>
      <c r="D4" s="5" t="s">
        <v>28</v>
      </c>
      <c r="E4" s="5" t="s">
        <v>29</v>
      </c>
      <c r="F4" s="3" t="s">
        <v>30</v>
      </c>
      <c r="G4" s="3" t="s">
        <v>31</v>
      </c>
      <c r="H4" s="6" t="n">
        <v>5.5</v>
      </c>
      <c r="I4" s="6" t="n">
        <f aca="false">B4*H4</f>
        <v>5.5</v>
      </c>
      <c r="J4" s="7" t="s">
        <v>17</v>
      </c>
      <c r="K4" s="5" t="s">
        <v>32</v>
      </c>
    </row>
    <row r="5" customFormat="false" ht="42.75" hidden="false" customHeight="true" outlineLevel="0" collapsed="false">
      <c r="A5" s="3" t="s">
        <v>33</v>
      </c>
      <c r="B5" s="4" t="n">
        <v>2</v>
      </c>
      <c r="C5" s="5" t="s">
        <v>34</v>
      </c>
      <c r="D5" s="5" t="s">
        <v>35</v>
      </c>
      <c r="E5" s="5" t="s">
        <v>36</v>
      </c>
      <c r="F5" s="3" t="s">
        <v>37</v>
      </c>
      <c r="G5" s="3" t="s">
        <v>38</v>
      </c>
      <c r="H5" s="6" t="n">
        <v>6.2</v>
      </c>
      <c r="I5" s="6" t="n">
        <f aca="false">B5*H5</f>
        <v>12.4</v>
      </c>
      <c r="J5" s="7" t="s">
        <v>17</v>
      </c>
      <c r="K5" s="5" t="s">
        <v>39</v>
      </c>
    </row>
    <row r="6" customFormat="false" ht="42.75" hidden="false" customHeight="true" outlineLevel="0" collapsed="false">
      <c r="A6" s="3" t="s">
        <v>40</v>
      </c>
      <c r="B6" s="4" t="n">
        <v>4</v>
      </c>
      <c r="C6" s="5" t="s">
        <v>41</v>
      </c>
      <c r="D6" s="5" t="s">
        <v>42</v>
      </c>
      <c r="E6" s="5" t="s">
        <v>43</v>
      </c>
      <c r="F6" s="3" t="s">
        <v>44</v>
      </c>
      <c r="G6" s="3" t="s">
        <v>45</v>
      </c>
      <c r="H6" s="6" t="n">
        <v>0.273</v>
      </c>
      <c r="I6" s="6" t="n">
        <f aca="false">B6*H6</f>
        <v>1.092</v>
      </c>
      <c r="J6" s="7" t="s">
        <v>17</v>
      </c>
      <c r="K6" s="5" t="s">
        <v>46</v>
      </c>
    </row>
    <row r="7" customFormat="false" ht="42.75" hidden="false" customHeight="true" outlineLevel="0" collapsed="false">
      <c r="A7" s="3" t="s">
        <v>47</v>
      </c>
      <c r="B7" s="4" t="n">
        <v>4</v>
      </c>
      <c r="C7" s="5" t="s">
        <v>48</v>
      </c>
      <c r="D7" s="5" t="s">
        <v>49</v>
      </c>
      <c r="E7" s="5" t="s">
        <v>50</v>
      </c>
      <c r="F7" s="3" t="s">
        <v>51</v>
      </c>
      <c r="G7" s="3" t="s">
        <v>52</v>
      </c>
      <c r="H7" s="6" t="n">
        <v>0.47</v>
      </c>
      <c r="I7" s="6" t="n">
        <f aca="false">B7*H7</f>
        <v>1.88</v>
      </c>
      <c r="J7" s="8" t="s">
        <v>17</v>
      </c>
      <c r="K7" s="5" t="s">
        <v>53</v>
      </c>
    </row>
    <row r="8" customFormat="false" ht="21.75" hidden="false" customHeight="true" outlineLevel="0" collapsed="false">
      <c r="A8" s="3" t="s">
        <v>54</v>
      </c>
      <c r="B8" s="4" t="n">
        <v>1</v>
      </c>
      <c r="C8" s="5" t="s">
        <v>55</v>
      </c>
      <c r="D8" s="5" t="s">
        <v>56</v>
      </c>
      <c r="E8" s="5" t="s">
        <v>57</v>
      </c>
      <c r="F8" s="3" t="s">
        <v>58</v>
      </c>
      <c r="G8" s="3" t="s">
        <v>59</v>
      </c>
      <c r="H8" s="6" t="n">
        <v>0.22</v>
      </c>
      <c r="I8" s="6" t="n">
        <f aca="false">B8*H8</f>
        <v>0.22</v>
      </c>
      <c r="J8" s="8" t="s">
        <v>17</v>
      </c>
      <c r="K8" s="5" t="s">
        <v>60</v>
      </c>
    </row>
    <row r="9" customFormat="false" ht="21.75" hidden="false" customHeight="true" outlineLevel="0" collapsed="false">
      <c r="A9" s="3" t="s">
        <v>61</v>
      </c>
      <c r="B9" s="4" t="n">
        <v>2</v>
      </c>
      <c r="C9" s="5" t="s">
        <v>62</v>
      </c>
      <c r="D9" s="5" t="s">
        <v>63</v>
      </c>
      <c r="E9" s="5" t="s">
        <v>57</v>
      </c>
      <c r="F9" s="3" t="s">
        <v>58</v>
      </c>
      <c r="G9" s="3" t="s">
        <v>64</v>
      </c>
      <c r="H9" s="6" t="n">
        <v>0.22</v>
      </c>
      <c r="I9" s="6" t="n">
        <f aca="false">B9*H9</f>
        <v>0.44</v>
      </c>
      <c r="J9" s="8" t="s">
        <v>17</v>
      </c>
      <c r="K9" s="5" t="s">
        <v>65</v>
      </c>
    </row>
    <row r="10" customFormat="false" ht="42.75" hidden="false" customHeight="true" outlineLevel="0" collapsed="false">
      <c r="A10" s="3" t="s">
        <v>66</v>
      </c>
      <c r="B10" s="4" t="n">
        <v>1</v>
      </c>
      <c r="C10" s="5" t="s">
        <v>67</v>
      </c>
      <c r="D10" s="5" t="s">
        <v>68</v>
      </c>
      <c r="E10" s="5" t="s">
        <v>69</v>
      </c>
      <c r="F10" s="3" t="s">
        <v>70</v>
      </c>
      <c r="G10" s="3" t="s">
        <v>71</v>
      </c>
      <c r="H10" s="6" t="n">
        <v>0.3</v>
      </c>
      <c r="I10" s="6" t="n">
        <f aca="false">B10*H10</f>
        <v>0.3</v>
      </c>
      <c r="J10" s="7" t="s">
        <v>17</v>
      </c>
      <c r="K10" s="5" t="s">
        <v>72</v>
      </c>
    </row>
    <row r="11" customFormat="false" ht="42.75" hidden="false" customHeight="true" outlineLevel="0" collapsed="false">
      <c r="A11" s="3" t="s">
        <v>73</v>
      </c>
      <c r="B11" s="4" t="n">
        <v>1</v>
      </c>
      <c r="C11" s="5" t="s">
        <v>74</v>
      </c>
      <c r="D11" s="5" t="s">
        <v>75</v>
      </c>
      <c r="E11" s="5" t="s">
        <v>76</v>
      </c>
      <c r="F11" s="3" t="s">
        <v>77</v>
      </c>
      <c r="G11" s="3" t="s">
        <v>78</v>
      </c>
      <c r="H11" s="6" t="n">
        <v>7.68</v>
      </c>
      <c r="I11" s="6" t="n">
        <f aca="false">B11*H11</f>
        <v>7.68</v>
      </c>
      <c r="J11" s="7" t="s">
        <v>17</v>
      </c>
      <c r="K11" s="5" t="s">
        <v>79</v>
      </c>
    </row>
    <row r="12" customFormat="false" ht="15" hidden="false" customHeight="true" outlineLevel="0" collapsed="false">
      <c r="G12" s="9" t="s">
        <v>80</v>
      </c>
      <c r="I12" s="10" t="n">
        <f aca="false">SUM(I2:I11)</f>
        <v>30.862</v>
      </c>
    </row>
    <row r="14" customFormat="false" ht="15" hidden="false" customHeight="true" outlineLevel="0" collapsed="false">
      <c r="A14" s="11" t="s">
        <v>81</v>
      </c>
    </row>
    <row r="15" customFormat="false" ht="15" hidden="false" customHeight="true" outlineLevel="0" collapsed="false">
      <c r="A15" s="12" t="s">
        <v>82</v>
      </c>
      <c r="B15" s="12"/>
      <c r="C15" s="12"/>
      <c r="D15" s="12"/>
      <c r="E15" s="12"/>
      <c r="F15" s="12"/>
      <c r="G15" s="12"/>
      <c r="H15" s="12"/>
      <c r="I15" s="12"/>
      <c r="J15" s="12"/>
      <c r="K15" s="13" t="s">
        <v>83</v>
      </c>
    </row>
    <row r="16" customFormat="false" ht="32.25" hidden="false" customHeight="true" outlineLevel="0" collapsed="false">
      <c r="A16" s="12" t="s">
        <v>84</v>
      </c>
      <c r="B16" s="12"/>
      <c r="C16" s="12"/>
      <c r="D16" s="12"/>
      <c r="E16" s="12"/>
      <c r="F16" s="12"/>
      <c r="G16" s="12"/>
      <c r="H16" s="12"/>
      <c r="I16" s="12"/>
      <c r="J16" s="12"/>
      <c r="K16" s="13" t="s">
        <v>85</v>
      </c>
    </row>
    <row r="17" customFormat="false" ht="21.75" hidden="false" customHeight="true" outlineLevel="0" collapsed="false">
      <c r="A17" s="12" t="s">
        <v>86</v>
      </c>
      <c r="B17" s="12"/>
      <c r="C17" s="12"/>
      <c r="D17" s="12"/>
      <c r="E17" s="12"/>
      <c r="F17" s="12"/>
      <c r="G17" s="12"/>
      <c r="H17" s="12"/>
      <c r="I17" s="12"/>
      <c r="J17" s="12"/>
      <c r="K17" s="13" t="s">
        <v>87</v>
      </c>
    </row>
    <row r="18" customFormat="false" ht="53.25" hidden="false" customHeight="true" outlineLevel="0" collapsed="false">
      <c r="A18" s="12" t="s">
        <v>88</v>
      </c>
      <c r="B18" s="12"/>
      <c r="C18" s="12"/>
      <c r="D18" s="12"/>
      <c r="E18" s="12"/>
      <c r="F18" s="12"/>
      <c r="G18" s="12"/>
      <c r="H18" s="12"/>
      <c r="I18" s="12"/>
      <c r="J18" s="12"/>
      <c r="K18" s="13" t="s">
        <v>89</v>
      </c>
    </row>
    <row r="19" customFormat="false" ht="15" hidden="false" customHeight="true" outlineLevel="0" collapsed="false"/>
    <row r="20" customFormat="false" ht="15" hidden="false" customHeight="true" outlineLevel="0" collapsed="false">
      <c r="A20" s="14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95"/>
  </cols>
  <sheetData>
    <row r="1" customFormat="false" ht="15" hidden="false" customHeight="true" outlineLevel="0" collapsed="false">
      <c r="A1" s="2" t="s">
        <v>91</v>
      </c>
      <c r="B1" s="2" t="s">
        <v>92</v>
      </c>
      <c r="C1" s="2" t="s">
        <v>93</v>
      </c>
      <c r="D1" s="2" t="s">
        <v>94</v>
      </c>
    </row>
    <row r="2" customFormat="false" ht="42.75" hidden="false" customHeight="true" outlineLevel="0" collapsed="false">
      <c r="A2" s="4" t="n">
        <v>1</v>
      </c>
      <c r="B2" s="5" t="s">
        <v>95</v>
      </c>
      <c r="C2" s="8" t="s">
        <v>96</v>
      </c>
      <c r="D2" s="5" t="s">
        <v>97</v>
      </c>
    </row>
    <row r="3" customFormat="false" ht="15" hidden="false" customHeight="true" outlineLevel="0" collapsed="false">
      <c r="A3" s="4" t="n">
        <v>2</v>
      </c>
      <c r="B3" s="5" t="s">
        <v>98</v>
      </c>
      <c r="C3" s="8" t="s">
        <v>96</v>
      </c>
      <c r="D3" s="5" t="s">
        <v>99</v>
      </c>
    </row>
    <row r="4" customFormat="false" ht="21.75" hidden="false" customHeight="true" outlineLevel="0" collapsed="false">
      <c r="A4" s="4" t="n">
        <v>3</v>
      </c>
      <c r="B4" s="5" t="s">
        <v>100</v>
      </c>
      <c r="C4" s="8" t="s">
        <v>96</v>
      </c>
      <c r="D4" s="5" t="s">
        <v>101</v>
      </c>
    </row>
    <row r="5" customFormat="false" ht="32.25" hidden="false" customHeight="true" outlineLevel="0" collapsed="false">
      <c r="A5" s="4" t="n">
        <v>4</v>
      </c>
      <c r="B5" s="5" t="s">
        <v>102</v>
      </c>
      <c r="C5" s="15" t="s">
        <v>103</v>
      </c>
      <c r="D5" s="5" t="s">
        <v>104</v>
      </c>
    </row>
    <row r="6" customFormat="false" ht="21.75" hidden="false" customHeight="true" outlineLevel="0" collapsed="false">
      <c r="A6" s="4" t="n">
        <v>5</v>
      </c>
      <c r="B6" s="5" t="s">
        <v>105</v>
      </c>
      <c r="C6" s="15" t="s">
        <v>106</v>
      </c>
      <c r="D6" s="5" t="s">
        <v>107</v>
      </c>
    </row>
    <row r="7" customFormat="false" ht="32.25" hidden="false" customHeight="true" outlineLevel="0" collapsed="false">
      <c r="A7" s="4" t="n">
        <v>6</v>
      </c>
      <c r="B7" s="5" t="s">
        <v>108</v>
      </c>
      <c r="C7" s="15" t="s">
        <v>109</v>
      </c>
      <c r="D7" s="5" t="s">
        <v>110</v>
      </c>
    </row>
    <row r="8" customFormat="false" ht="21.75" hidden="false" customHeight="true" outlineLevel="0" collapsed="false">
      <c r="A8" s="4" t="n">
        <v>7</v>
      </c>
      <c r="B8" s="5" t="s">
        <v>111</v>
      </c>
      <c r="C8" s="7" t="s">
        <v>112</v>
      </c>
      <c r="D8" s="5" t="s">
        <v>113</v>
      </c>
    </row>
    <row r="9" customFormat="false" ht="21.75" hidden="false" customHeight="true" outlineLevel="0" collapsed="false">
      <c r="A9" s="4" t="n">
        <v>8</v>
      </c>
      <c r="B9" s="5" t="s">
        <v>114</v>
      </c>
      <c r="C9" s="7" t="s">
        <v>112</v>
      </c>
      <c r="D9" s="5" t="s">
        <v>115</v>
      </c>
    </row>
    <row r="10" customFormat="false" ht="53.25" hidden="false" customHeight="true" outlineLevel="0" collapsed="false">
      <c r="A10" s="4" t="s">
        <v>116</v>
      </c>
      <c r="B10" s="5" t="s">
        <v>117</v>
      </c>
      <c r="C10" s="7" t="s">
        <v>118</v>
      </c>
      <c r="D10" s="5" t="s">
        <v>119</v>
      </c>
    </row>
    <row r="11" customFormat="false" ht="32.25" hidden="false" customHeight="true" outlineLevel="0" collapsed="false">
      <c r="A11" s="4" t="s">
        <v>120</v>
      </c>
      <c r="B11" s="5" t="s">
        <v>121</v>
      </c>
      <c r="C11" s="7" t="s">
        <v>112</v>
      </c>
      <c r="D11" s="5" t="s">
        <v>122</v>
      </c>
    </row>
    <row r="12" customFormat="false" ht="21.75" hidden="false" customHeight="true" outlineLevel="0" collapsed="false">
      <c r="A12" s="4" t="s">
        <v>123</v>
      </c>
      <c r="B12" s="5" t="s">
        <v>124</v>
      </c>
      <c r="C12" s="7" t="s">
        <v>125</v>
      </c>
      <c r="D12" s="5" t="s">
        <v>126</v>
      </c>
    </row>
    <row r="13" customFormat="false" ht="21.75" hidden="false" customHeight="true" outlineLevel="0" collapsed="false">
      <c r="A13" s="4" t="s">
        <v>127</v>
      </c>
      <c r="B13" s="5" t="s">
        <v>128</v>
      </c>
      <c r="C13" s="7" t="s">
        <v>129</v>
      </c>
      <c r="D13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2026-06-14T22:48:54Z</dcterms:created>
  <dc:creator>openpyxl</dc:creator>
  <dc:description/>
  <dc:language>en-US</dc:language>
  <cp:lastModifiedBy/>
  <dcterms:modified xsi:type="dcterms:W3CDTF">2026-06-15T17:33:21Z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