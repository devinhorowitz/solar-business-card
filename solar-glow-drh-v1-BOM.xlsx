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M (v1)" sheetId="1" state="visible" r:id="rId3"/>
    <sheet name="v0 → v1 Chang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<sst xmlns="http://schemas.openxmlformats.org/spreadsheetml/2006/main" count="373" uniqueCount="265">
  <si>
    <t xml:space="preserve">Δ v0→v1</t>
  </si>
  <si>
    <t xml:space="preserve">Ref(s)</t>
  </si>
  <si>
    <t xml:space="preserve">Qty</t>
  </si>
  <si>
    <t xml:space="preserve">Function</t>
  </si>
  <si>
    <t xml:space="preserve">Value</t>
  </si>
  <si>
    <t xml:space="preserve">Package / Footprint</t>
  </si>
  <si>
    <t xml:space="preserve">Mfr</t>
  </si>
  <si>
    <t xml:space="preserve">MPN (orderable)</t>
  </si>
  <si>
    <t xml:space="preserve">≈$/ea*</t>
  </si>
  <si>
    <t xml:space="preserve">Ext $</t>
  </si>
  <si>
    <t xml:space="preserve">Status (v1)</t>
  </si>
  <si>
    <t xml:space="preserve">Sourcing note / flag (v0→v1)</t>
  </si>
  <si>
    <t xml:space="preserve">Datasheet (repo)</t>
  </si>
  <si>
    <t xml:space="preserve">DigiKey P/N</t>
  </si>
  <si>
    <t xml:space="preserve">SOLAR BUILD — per board (buyable parts)</t>
  </si>
  <si>
    <t xml:space="preserve">REPLACED</t>
  </si>
  <si>
    <t xml:space="preserve">U1</t>
  </si>
  <si>
    <t xml:space="preserve">MCU — AVR64DD28 (AVR-DD): 4 independent HW-PWM LED drives, dome input, MVIO I2C (PORTC on VDDIO2), ADC light-sense, UPDI</t>
  </si>
  <si>
    <t xml:space="preserve">—</t>
  </si>
  <si>
    <t xml:space="preserve">28-VQFN 4x4x0.9mm (EP)</t>
  </si>
  <si>
    <t xml:space="preserve">Microchip</t>
  </si>
  <si>
    <t xml:space="preserve">AVR64DD28-I/STX</t>
  </si>
  <si>
    <t xml:space="preserve">NEW PART (v1)</t>
  </si>
  <si>
    <t xml:space="preserve">REPLACES v0 ATtiny1616 (20-VQFN). AVR-DD for MVIO (PORTC @3V for the accel while core stays @5V), 12-bit ADC, more PWM/timers, 22 I/O. 28-VQFN (~16 mm2 land) beats SSOP/SOIC on this dense board. Firmware MUST set PMODE=AUTO for sleep -&gt; 0.65 uA power-down. Confirm live price + DigiKey P/N.</t>
  </si>
  <si>
    <t xml:space="preserve">datasheets/AVR64DD32-28-Complete-DataSheet-DS40002315.pdf</t>
  </si>
  <si>
    <t xml:space="preserve">AVR64DD28-I/STX-ND (confirm)</t>
  </si>
  <si>
    <t xml:space="preserve">KEPT</t>
  </si>
  <si>
    <t xml:space="preserve">D1</t>
  </si>
  <si>
    <t xml:space="preserve">Solar blocking/charge diode (VIN to VS)</t>
  </si>
  <si>
    <t xml:space="preserve">Schottky, Vf~0.3-0.6V</t>
  </si>
  <si>
    <t xml:space="preserve">SOD-123</t>
  </si>
  <si>
    <t xml:space="preserve">onsemi</t>
  </si>
  <si>
    <t xml:space="preserve">MMSD301T1G</t>
  </si>
  <si>
    <t xml:space="preserve">LOCKED</t>
  </si>
  <si>
    <t xml:space="preserve">Unchanged from v0. Low-Vf Schottky for the ~4 V solar budget.</t>
  </si>
  <si>
    <t xml:space="preserve">datasheets/MMSD301T1-D.PDF</t>
  </si>
  <si>
    <t xml:space="preserve">MMSD301T1GOSCT-ND</t>
  </si>
  <si>
    <t xml:space="preserve">PV1</t>
  </si>
  <si>
    <t xml:space="preserve">Indoor solar cell (charges the supercap stack)</t>
  </si>
  <si>
    <t xml:space="preserve">Voc 4.15V, 184mW, mono</t>
  </si>
  <si>
    <t xml:space="preserve">custom outline 42x23</t>
  </si>
  <si>
    <t xml:space="preserve">ANYSOLAR (IXOLAR)</t>
  </si>
  <si>
    <t xml:space="preserve">SM141K06L</t>
  </si>
  <si>
    <t xml:space="preserve">Unchanged from v0. Voc 4.15 V &lt; 5.5 V stack -&gt; cannot overcharge (no clamp needed). MANUAL SOLDER ONLY (EVA-laminated, &lt;260C / 2 s, no reflow).</t>
  </si>
  <si>
    <t xml:space="preserve">datasheets/SM141K06L DATA SHEET 202007-3.pdf</t>
  </si>
  <si>
    <t xml:space="preserve">SM141K06L-ND</t>
  </si>
  <si>
    <t xml:space="preserve">SC1, SC2, SC3, SC4</t>
  </si>
  <si>
    <t xml:space="preserve">Energy storage — 4 cells in 2P2S = 1F @ 5.5V on a single MID node (U2 balances)</t>
  </si>
  <si>
    <t xml:space="preserve">2.75V, 1F (each), 40mOhm</t>
  </si>
  <si>
    <t xml:space="preserve">prismatic SMD, 28.5x17x1.7mm</t>
  </si>
  <si>
    <t xml:space="preserve">SCHURTER</t>
  </si>
  <si>
    <t xml:space="preserve">3-153-438</t>
  </si>
  <si>
    <t xml:space="preserve">NEW PART (v1) — CONFIRM $</t>
  </si>
  <si>
    <t xml:space="preserve">REPLACES v0 2x WS10 (3-153-434, 300mF). Qty 2-&gt;4, WS10-&gt;WS17, 300mF-&gt;1F/cell. 2P2S -&gt; 1F @ 5.5V ~15J (6.6x the v0 reserve). *** LAND REDRAWN: real solderable pads are UNDER-BODY flats (P 7.8x3.5, N 12.2x3.5, +/-11 mm). The v0/REV-J diagonal end-tab land was WRONG (non-solderable tabs = zero contact) — never reintroduce. Hand-solder only. Confirm live price (v0 WS10 was $15.48; WS17 is larger) + DigiKey 486-3-153-438-ND.</t>
  </si>
  <si>
    <t xml:space="preserve">datasheets/typ_SCPC-2.pdf (p4, Case WS17)</t>
  </si>
  <si>
    <t xml:space="preserve">486-3-153-438-ND (confirm)</t>
  </si>
  <si>
    <t xml:space="preserve">D2, D3, D4, D5</t>
  </si>
  <si>
    <t xml:space="preserve">Glow LEDs — reverse-mount through the bare-FR4 'DRH' window; 4 independent channels</t>
  </si>
  <si>
    <t xml:space="preserve">Amber 617nm, Vf~2.25V</t>
  </si>
  <si>
    <t xml:space="preserve">PointLED 2-SMD, ~3.4x1.25mm</t>
  </si>
  <si>
    <t xml:space="preserve">ams OSRAM</t>
  </si>
  <si>
    <t xml:space="preserve">LA P47F-V2BB-24-3B5A-30-R18-Z</t>
  </si>
  <si>
    <t xml:space="preserve">Unchanged from v0. Each LED on its own cathode (K2-K5) -&gt; ballast -&gt; MCU pin (PA0-PA3) = 4 independent PWM channels (kept in v1).</t>
  </si>
  <si>
    <t xml:space="preserve">datasheets/LA P47F_EN-2.pdf</t>
  </si>
  <si>
    <t xml:space="preserve">475-LAP47F-V2BB-24-3B5A-30-R18-ZCT-ND</t>
  </si>
  <si>
    <t xml:space="preserve">R1, R2, R3, R4</t>
  </si>
  <si>
    <t xml:space="preserve">LED ballast — one per LED (independent), per-LED low-side PWM</t>
  </si>
  <si>
    <t xml:space="preserve">1 kOhm, +/-1%, 25ppm/C</t>
  </si>
  <si>
    <t xml:space="preserve">1206</t>
  </si>
  <si>
    <t xml:space="preserve">Vishay Dale</t>
  </si>
  <si>
    <t xml:space="preserve">TNPW12061K00FEEA</t>
  </si>
  <si>
    <t xml:space="preserve">Unchanged from v0. Per-LED ~3.5 mA @5.5V. v1 adds per-channel test solder-bridges (SB1-4, below) that ground each drive net for an MCU-less array test.</t>
  </si>
  <si>
    <t xml:space="preserve">datasheets/tnpw_e3.pdf</t>
  </si>
  <si>
    <t xml:space="preserve">541-TNPW12061K00FEEACT-ND</t>
  </si>
  <si>
    <t xml:space="preserve">KEPT*</t>
  </si>
  <si>
    <t xml:space="preserve">C1</t>
  </si>
  <si>
    <t xml:space="preserve">VDD decouple (AVR-DD VDD pin 18 to GND)</t>
  </si>
  <si>
    <t xml:space="preserve">0.1uF, X7R, 50V, +/-10%</t>
  </si>
  <si>
    <t xml:space="preserve">0805</t>
  </si>
  <si>
    <t xml:space="preserve">Samsung</t>
  </si>
  <si>
    <t xml:space="preserve">CL21B104KBCWPNC</t>
  </si>
  <si>
    <t xml:space="preserve">KEPT — role reassigned</t>
  </si>
  <si>
    <t xml:space="preserve">Same part as v0 C1. v1: decouples AVR-DD VDD pin 18 (place tight to the pin). Confirm the full decoupling scheme vs the AVR-DD hardware guidelines.</t>
  </si>
  <si>
    <t xml:space="preserve">datasheets/CL21B104KBCWPNC.pdf</t>
  </si>
  <si>
    <t xml:space="preserve">1276-6557-1-ND</t>
  </si>
  <si>
    <t xml:space="preserve">C2</t>
  </si>
  <si>
    <t xml:space="preserve">VDD decouple (AVR-DD VDD pin 24 to GND)</t>
  </si>
  <si>
    <t xml:space="preserve">0.1uF (decouple) — CONFIRM</t>
  </si>
  <si>
    <t xml:space="preserve">KEPT — reassigned, CONFIRM value</t>
  </si>
  <si>
    <t xml:space="preserve">v0 C2 was 1uF VS-bypass (qty-2 line w/ C3). v1 reassigns it to decouple the 2nd VDD pin (24); a 0.1uF decoupler is typical, shown as CL21B104. Confirm value.</t>
  </si>
  <si>
    <t xml:space="preserve">C3</t>
  </si>
  <si>
    <t xml:space="preserve">VDDIO2 (MVIO rail) decouple to GND</t>
  </si>
  <si>
    <t xml:space="preserve">v0 C3 was 1uF VS-bypass. v1 reassigns it to decouple VDDIO2 (the separate PORTC/MVIO supply, jumpered to VS via SJ1). Confirm value.</t>
  </si>
  <si>
    <t xml:space="preserve">C4</t>
  </si>
  <si>
    <t xml:space="preserve">VS-rail bulk/bypass to GND (common to both builds)</t>
  </si>
  <si>
    <t xml:space="preserve">1uF, X7S, 10V, +/-10%</t>
  </si>
  <si>
    <t xml:space="preserve">0402</t>
  </si>
  <si>
    <t xml:space="preserve">CL05Y105KP6VPN</t>
  </si>
  <si>
    <t xml:space="preserve">Unchanged from v0. VS-rail bulk bypass; supercaps carry the bulk.</t>
  </si>
  <si>
    <t xml:space="preserve">datasheets/DataSheet_CL05Y105KP6VPN_20260616.pdf</t>
  </si>
  <si>
    <t xml:space="preserve">(add to cart)</t>
  </si>
  <si>
    <t xml:space="preserve">SW1</t>
  </si>
  <si>
    <t xml:space="preserve">Tactile dome — user button: C to PA7, ring to GND</t>
  </si>
  <si>
    <t xml:space="preserve">12mm, 340g, N.O. SPST</t>
  </si>
  <si>
    <t xml:space="preserve">O12mm metal snap dome</t>
  </si>
  <si>
    <t xml:space="preserve">Snaptron</t>
  </si>
  <si>
    <t xml:space="preserve">F12340</t>
  </si>
  <si>
    <t xml:space="preserve">Unchanged from v0. NOTE: in the enclosed Ti build the dome is the PRIMARY button — a grounded metal back-plate kills cap-touch. Retained by adhesive overlay, not soldered.</t>
  </si>
  <si>
    <t xml:space="preserve">repo: F12340.kicad_sym + SW_F12340.kicad_mod</t>
  </si>
  <si>
    <t xml:space="preserve">4955-F12340-ND</t>
  </si>
  <si>
    <t xml:space="preserve">U2</t>
  </si>
  <si>
    <t xml:space="preserve">Supercap balancer — dual SAB MOSFET across the shared MID node</t>
  </si>
  <si>
    <t xml:space="preserve">Dual SAB MOSFET, Vt 2.50V</t>
  </si>
  <si>
    <t xml:space="preserve">SOIC-8 (SAL)</t>
  </si>
  <si>
    <t xml:space="preserve">Advanced Linear Devices</t>
  </si>
  <si>
    <t xml:space="preserve">ALD910025SALI</t>
  </si>
  <si>
    <t xml:space="preserve">LOCKED — unchanged</t>
  </si>
  <si>
    <t xml:space="preserve">UNCHANGED from v0 (already the dual ALD910025). The v1 docs briefly mislabeled it 'ALD810025' — that is the QUAD/16-pin sibling and was a typo (now corrected). 2P2S still has ONE shared MID node -&gt; the dual is correct. Vt 2.50V suits the 2.75V WS17 cells.</t>
  </si>
  <si>
    <t xml:space="preserve">datasheets/ALD810025-2.pdf</t>
  </si>
  <si>
    <t xml:space="preserve">ALD910025SALI-ND</t>
  </si>
  <si>
    <t xml:space="preserve">ADDED</t>
  </si>
  <si>
    <t xml:space="preserve">R5, R6</t>
  </si>
  <si>
    <t xml:space="preserve">Light-sense divider (VIN to VSENSE to GND) into PA5/AIN25</t>
  </si>
  <si>
    <t xml:space="preserve">MOhm-class (e.g. ~1M ea), +/-1%</t>
  </si>
  <si>
    <t xml:space="preserve">(select)</t>
  </si>
  <si>
    <t xml:space="preserve">(select MOhm-class)</t>
  </si>
  <si>
    <t xml:space="preserve">NEW (v1) — select</t>
  </si>
  <si>
    <t xml:space="preserve">NEW in v1. Divides the solar node (VIN, pre-D1) into the ADC so firmware reads real harvest/light. MOhm-class keeps standby bleed sub-uA. Size the ratio so VSENSE &lt; VDD (VIN sits ~0.3V over VS while charging). Select value/MPN.</t>
  </si>
  <si>
    <t xml:space="preserve">C5</t>
  </si>
  <si>
    <t xml:space="preserve">VSENSE ADC filter (VSENSE to GND)</t>
  </si>
  <si>
    <t xml:space="preserve">~1-10 nF — select</t>
  </si>
  <si>
    <t xml:space="preserve">NEW in v1. RC filter on the light-sense ADC node with R5/R6. Select value/MPN.</t>
  </si>
  <si>
    <t xml:space="preserve">SJ1</t>
  </si>
  <si>
    <t xml:space="preserve">VDDIO2 tie — 0-ohm jumper VS to VDDIO2 (LDO in v2)</t>
  </si>
  <si>
    <t xml:space="preserve">0 ohm (or solder bridge)</t>
  </si>
  <si>
    <t xml:space="preserve">0R 0402 or solder bridge</t>
  </si>
  <si>
    <t xml:space="preserve">NEW (v1)</t>
  </si>
  <si>
    <t xml:space="preserve">NEW in v1. Ties the MVIO rail VDDIO2 to VS for v1 (PORTC at the 5V rail). v2 may swap this 0R for an LDO to drop PORTC to 3.0V for the accel. Can be a 0R 0402 (cost shown) or a solder bridge (no part).</t>
  </si>
  <si>
    <t xml:space="preserve">Solar build subtotal (per board, indicative)</t>
  </si>
  <si>
    <t xml:space="preserve">Supercaps dominate (4x ~$18). Solar &amp; battery are ALTERNATIVES — do NOT add the two subtotals. C4 is common. Confirm all live pricing at order.</t>
  </si>
  <si>
    <t xml:space="preserve">PCB FEATURES &amp; RESERVED — no part to buy (v1)</t>
  </si>
  <si>
    <t xml:space="preserve">SB1, SB2, SB3, SB4</t>
  </si>
  <si>
    <t xml:space="preserve">Per-channel LED test solder-bridges (replace the SW2 concept)</t>
  </si>
  <si>
    <t xml:space="preserve">solder bridge (no part)</t>
  </si>
  <si>
    <t xml:space="preserve">2-pad jumper</t>
  </si>
  <si>
    <t xml:space="preserve">— (PCB feature)</t>
  </si>
  <si>
    <t xml:space="preserve">NEW (v1) — no part</t>
  </si>
  <si>
    <t xml:space="preserve">NEW in v1. Each 2-pad bridge ties one LED drive net (LDRV1-4) to GND. OPEN = MCU drives that channel (independent PWM); BRIDGED = that LED forced on without the MCU (bridge all 4 = array glow test). Only bridge when the MCU is not actively driving that pin high.</t>
  </si>
  <si>
    <t xml:space="preserve">ADDED (DNP)</t>
  </si>
  <si>
    <t xml:space="preserve">M1</t>
  </si>
  <si>
    <t xml:space="preserve">Accelerometer — RESERVED footprint, NOT populated in v1 (v2 option)</t>
  </si>
  <si>
    <t xml:space="preserve">MEMS accel, LGA</t>
  </si>
  <si>
    <t xml:space="preserve">LGA ~2x2mm</t>
  </si>
  <si>
    <t xml:space="preserve">Bosch / ST</t>
  </si>
  <si>
    <t xml:space="preserve">BMA400 or LIS2DW12 (candidates)</t>
  </si>
  <si>
    <t xml:space="preserve">RESERVED — do NOT populate (v1)</t>
  </si>
  <si>
    <t xml:space="preserve">NEW reservation in v1: NC pads on the existing I2C bus (zero extra GPIO). NOT ordered/populated for v1. If pulled into v1 later, build the footprint from the real BMA400/LIS2DW12 LGA datasheet geometry, and add an LDO (VS reaches ~5V &gt; the accel's 3.6V max).</t>
  </si>
  <si>
    <t xml:space="preserve">TC1</t>
  </si>
  <si>
    <t xml:space="preserve">Tag-Connect UPDI programming land (no-legs TC2030)</t>
  </si>
  <si>
    <t xml:space="preserve">TC2030 6-pad + 2 align holes (no legs)</t>
  </si>
  <si>
    <t xml:space="preserve">Tag-Connect (cable)</t>
  </si>
  <si>
    <t xml:space="preserve">TC2030-IDC-NL (cable = a tool)</t>
  </si>
  <si>
    <t xml:space="preserve">NEW (v1) — PCB land; cable is a tool</t>
  </si>
  <si>
    <t xml:space="preserve">NEW in v1 (v0 used bare J1 pads only). Board land verified vs the TC2030-MCP datasheet + KiCad lib. Pads 1=UPDI / 2=VCC / 3=GND, 4-6 NC. Program via SerialUPDI: a no-legs TC2030-IDC-NL cable (hand-held or with the Tag-Connect clip) + a ~$5 USB-serial dongle (TX via ~4.7k to UPDI). *** NOT TC2030-MCP — that cable is PIC-only and will NOT do AVR UPDI.</t>
  </si>
  <si>
    <t xml:space="preserve">datasheets/TC2030-MCP.pdf + TC2030-MCP-FP.kicad_mod</t>
  </si>
  <si>
    <t xml:space="preserve">TC2030-IDC-NL-ND (the cable / tool)</t>
  </si>
  <si>
    <t xml:space="preserve">J1</t>
  </si>
  <si>
    <t xml:space="preserve">UPDI programming pads (UPDI/VCC/GND, bare flat)</t>
  </si>
  <si>
    <t xml:space="preserve">bare pads</t>
  </si>
  <si>
    <t xml:space="preserve">unchanged</t>
  </si>
  <si>
    <t xml:space="preserve">Unchanged from v0. Coexists with TC1 (TC1 = snap-in Tag-Connect land; J1 = bare-pad fallback).</t>
  </si>
  <si>
    <t xml:space="preserve">JP1</t>
  </si>
  <si>
    <t xml:space="preserve">I2C breakout header (SDA/SCL/GND, bare)</t>
  </si>
  <si>
    <t xml:space="preserve">3 pads</t>
  </si>
  <si>
    <t xml:space="preserve">Unchanged from v0. Same I2C bus also serves the reserved accelerometer (M1).</t>
  </si>
  <si>
    <t xml:space="preserve">JP2</t>
  </si>
  <si>
    <t xml:space="preserve">Spare-GPIO breakout header (PA4/PC0/PC1 + GND)</t>
  </si>
  <si>
    <t xml:space="preserve">-</t>
  </si>
  <si>
    <t xml:space="preserve">4 pads (1x4, 1.27mm pitch)</t>
  </si>
  <si>
    <t xml:space="preserve">- (PCB feature / optional 1x4 header)</t>
  </si>
  <si>
    <t xml:space="preserve">NEW in v1: breaks out 3 spare U1 GPIOs (PA4, PC0, PC1) + GND on a 1x4 land for expansion/debug. Wired to U1 pins 2/6/7. Bare pads (solder wires) or fit a 1x4 1.27mm header.</t>
  </si>
  <si>
    <t xml:space="preserve">REMOVED</t>
  </si>
  <si>
    <t xml:space="preserve">CAST x5</t>
  </si>
  <si>
    <t xml:space="preserve">Castellated edge teeth (VS/SDA/SCL/GND/GND)</t>
  </si>
  <si>
    <t xml:space="preserve">plated half-holes O0.9mm</t>
  </si>
  <si>
    <t xml:space="preserve">REMOVED — enclosed Ti build</t>
  </si>
  <si>
    <t xml:space="preserve">DROP for the enclosed Ti build: the grounded titanium press-fit wall shorts against the non-GND edge castellations (VS/SDA/SCL). Per ENCLOSURE-NOTES, drop the right-edge castellations (or add a ~0.05 mm Kapton dielectric). Keep ONLY for a bare / non-enclosed variant.</t>
  </si>
  <si>
    <t xml:space="preserve">MH1-MH4</t>
  </si>
  <si>
    <t xml:space="preserve">M2 mounting holes (plated, GND, bond board to Ti body)</t>
  </si>
  <si>
    <t xml:space="preserve">M2</t>
  </si>
  <si>
    <t xml:space="preserve">O2.2 plated, GND land</t>
  </si>
  <si>
    <t xml:space="preserve">Unchanged from v0. Four grounded M2 holes tie board GND to the titanium cover.</t>
  </si>
  <si>
    <t xml:space="preserve">BATTERY OPTION — ALTERNATIVE to PV1 (populate coins+diodes INSTEAD of the solar cell)</t>
  </si>
  <si>
    <t xml:space="preserve">BT1, BT2</t>
  </si>
  <si>
    <t xml:space="preserve">Coin-cell retainers — two in SERIES (~6V) in place of the solar cell</t>
  </si>
  <si>
    <t xml:space="preserve">16mm coin (CR1632)</t>
  </si>
  <si>
    <t xml:space="preserve">Keystone SMT retainer FIG.2</t>
  </si>
  <si>
    <t xml:space="preserve">Keystone</t>
  </si>
  <si>
    <t xml:space="preserve">3012 / 3012TR</t>
  </si>
  <si>
    <t xml:space="preserve">Part OK</t>
  </si>
  <si>
    <t xml:space="preserve">Unchanged from v0. Alternative to PV1 (silk: 'SOLAR or BATTERY, NOT BOTH').</t>
  </si>
  <si>
    <t xml:space="preserve">datasheets/K75p11.pdf</t>
  </si>
  <si>
    <t xml:space="preserve">36-3012CT-ND</t>
  </si>
  <si>
    <t xml:space="preserve">D6, D7</t>
  </si>
  <si>
    <t xml:space="preserve">Battery over-voltage drop — two Si diodes in series (2x3V -&gt; ~5.4V on VS)</t>
  </si>
  <si>
    <t xml:space="preserve">Si switching, Vf~0.6V ea</t>
  </si>
  <si>
    <t xml:space="preserve">MMSD4148T1G</t>
  </si>
  <si>
    <t xml:space="preserve">Unchanged from v0. Battery population only. Balancer holds the stack safe under 5.5V.</t>
  </si>
  <si>
    <t xml:space="preserve">datasheets/MMSD4148T1-D.PDF</t>
  </si>
  <si>
    <t xml:space="preserve">MMSD4148T1GOSCT-ND</t>
  </si>
  <si>
    <t xml:space="preserve">(cells)</t>
  </si>
  <si>
    <t xml:space="preserve">Coin cells (user-supplied) — two in series for the ~6V battery option</t>
  </si>
  <si>
    <t xml:space="preserve">CR1632, 3V</t>
  </si>
  <si>
    <t xml:space="preserve">16mm coin</t>
  </si>
  <si>
    <t xml:space="preserve">CR1632 (e.g. Panasonic)</t>
  </si>
  <si>
    <t xml:space="preserve">user-supplied</t>
  </si>
  <si>
    <t xml:space="preserve">Unchanged from v0. Not soldered; drop into the retainers.</t>
  </si>
  <si>
    <t xml:space="preserve">datasheets/CR1632_Datasheet_EN.pdf</t>
  </si>
  <si>
    <t xml:space="preserve">Battery-option subtotal (per board)</t>
  </si>
  <si>
    <t xml:space="preserve">Alternative to the solar build (NOT additive). C4 is common (counted in the solar total).</t>
  </si>
  <si>
    <t xml:space="preserve">*≈$/ea is indicative (qty 1-10, USD) for a board-cost sanity check only — confirm live pricing at order. The NEW v1 parts (AVR64DD28, 4x WS17) and the WS17 price especially need a live check.</t>
  </si>
  <si>
    <t xml:space="preserve">Δ</t>
  </si>
  <si>
    <t xml:space="preserve">Item</t>
  </si>
  <si>
    <t xml:space="preserve">v0</t>
  </si>
  <si>
    <t xml:space="preserve">v1</t>
  </si>
  <si>
    <t xml:space="preserve">Why it changed</t>
  </si>
  <si>
    <t xml:space="preserve">U1 (MCU)</t>
  </si>
  <si>
    <t xml:space="preserve">ATtiny1616, 20-VQFN, $0.92</t>
  </si>
  <si>
    <t xml:space="preserve">AVR64DD28-I/STX, 28-VQFN, ~$1.62</t>
  </si>
  <si>
    <t xml:space="preserve">MVIO (PORTC @3V for a future accel, core @5V), 12-bit ADC light-sense, more PWM/timers, 22 I/O. Power-down 0.65 uA with PMODE=AUTO.</t>
  </si>
  <si>
    <t xml:space="preserve">SC1-4 (supercaps)</t>
  </si>
  <si>
    <t xml:space="preserve">2x WS10 (3-153-434), 2S = 150mF @ 5.5V</t>
  </si>
  <si>
    <t xml:space="preserve">4x WS17 (3-153-438), 2P2S = 1F @ 5.5V (~15J)</t>
  </si>
  <si>
    <t xml:space="preserve">6.6x dark reserve — the power headroom for the feature menu. The supercap LAND was also redrawn to under-body pads; the v0 diagonal end-tab land was wrong (zero contact).</t>
  </si>
  <si>
    <t xml:space="preserve">R5, R6, C5</t>
  </si>
  <si>
    <t xml:space="preserve">light-sense divider + ADC filter</t>
  </si>
  <si>
    <t xml:space="preserve">Read real solar-node harvest/light into PA5/AIN25 (v0 used a firmware VDD-proxy only).</t>
  </si>
  <si>
    <t xml:space="preserve">VDDIO2 to VS 0R jumper</t>
  </si>
  <si>
    <t xml:space="preserve">Ties the MVIO PORTC rail to VS for v1 (LDO swap deferred to v2).</t>
  </si>
  <si>
    <t xml:space="preserve">SB1-4</t>
  </si>
  <si>
    <t xml:space="preserve">per-channel LED test solder-bridges (no part)</t>
  </si>
  <si>
    <t xml:space="preserve">Force any LED on without the MCU for bring-up; keeps all 4 independent PWM channels. Replaces the dropped SW2 idea.</t>
  </si>
  <si>
    <t xml:space="preserve">accelerometer footprint, NOT populated</t>
  </si>
  <si>
    <t xml:space="preserve">Reserved on the I2C bus for v2; zero extra GPIO. Not ordered for v1.</t>
  </si>
  <si>
    <t xml:space="preserve">bare J1 UPDI pads only</t>
  </si>
  <si>
    <t xml:space="preserve">Tag-Connect TC2030 land, no-legs (J1 kept too)</t>
  </si>
  <si>
    <t xml:space="preserve">Convenience UPDI point, buried under PV1+SC1 once built (rear J1 pads are the permanent path). SerialUPDI via the TC2030-IDC-NL cable. NOT TC2030-MCP (PIC-only).</t>
  </si>
  <si>
    <t xml:space="preserve">spare-GPIO breakout: PA4/PC0/PC1 + GND</t>
  </si>
  <si>
    <t xml:space="preserve">Breaks out 3 spare U1 GPIOs (pins 2/6/7) on a 1x4 land for expansion/debug. Already wired on the board; added to the netlist this pass.</t>
  </si>
  <si>
    <t xml:space="preserve">castellated I2C/power edge teeth</t>
  </si>
  <si>
    <t xml:space="preserve">dropped in the enclosed Ti build</t>
  </si>
  <si>
    <t xml:space="preserve">The grounded titanium wall shorts the non-GND castellations (VS/SDA/SCL). Keep only for a bare/non-enclosed variant, or add Kapton.</t>
  </si>
  <si>
    <t xml:space="preserve">KEPT (reassigned)</t>
  </si>
  <si>
    <t xml:space="preserve">C1 / C2 / C3</t>
  </si>
  <si>
    <t xml:space="preserve">C1 0.1uF decouple; C2/C3 1uF VS-bypass</t>
  </si>
  <si>
    <t xml:space="preserve">decoupling re-mapped: VDD pin18, VDD pin24, VDDIO2</t>
  </si>
  <si>
    <t xml:space="preserve">AVR-DD has two VDD pins + a separate VDDIO2 (MVIO) rail. Confirm exact values vs the AVR-DD hardware guidelines.</t>
  </si>
  <si>
    <t xml:space="preserve">KEPT (clarify)</t>
  </si>
  <si>
    <t xml:space="preserve">U2 (balancer)</t>
  </si>
  <si>
    <t xml:space="preserve">ALD910025 dual SAB, SOIC-8</t>
  </si>
  <si>
    <t xml:space="preserve">ALD910025 dual SAB, SOIC-8 (UNCHANGED)</t>
  </si>
  <si>
    <t xml:space="preserve">NOT changed. The v1 docs briefly typo'd 'ALD810025' (the quad sibling); corrected. 2P2S still has one MID node -&gt; the dual is correct.</t>
  </si>
  <si>
    <t xml:space="preserve">everything else</t>
  </si>
  <si>
    <t xml:space="preserve">D1, PV1, D2-5, R1-4, C4, SW1, J1, JP1, MH1-4, BT1/2, D6/7, cells</t>
  </si>
  <si>
    <t xml:space="preserve">Carried forward unchanged from v0.</t>
  </si>
</sst>
</file>

<file path=xl/styles.xml><?xml version="1.0" encoding="utf-8"?>
<styleSheet xmlns="http://schemas.openxmlformats.org/spreadsheetml/2006/main">
  <numFmts count="2">
    <numFmt numFmtId="164" formatCode="General"/>
    <numFmt numFmtId="165" formatCode="\$#,##0.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Calibri"/>
      <family val="0"/>
      <charset val="1"/>
    </font>
    <font>
      <b val="true"/>
      <i val="true"/>
      <sz val="10"/>
      <name val="Calibri"/>
      <family val="0"/>
      <charset val="1"/>
    </font>
    <font>
      <b val="true"/>
      <sz val="10"/>
      <name val="Calibri"/>
      <family val="0"/>
      <charset val="1"/>
    </font>
    <font>
      <sz val="10"/>
      <name val="Calibri"/>
      <family val="0"/>
      <charset val="1"/>
    </font>
    <font>
      <i val="true"/>
      <sz val="9"/>
      <color rgb="FF808080"/>
      <name val="Calibri"/>
      <family val="0"/>
      <charset val="1"/>
    </font>
  </fonts>
  <fills count="9">
    <fill>
      <patternFill patternType="none"/>
    </fill>
    <fill>
      <patternFill patternType="gray125"/>
    </fill>
    <fill>
      <patternFill patternType="solid">
        <fgColor rgb="FF1F3864"/>
        <bgColor rgb="FF333333"/>
      </patternFill>
    </fill>
    <fill>
      <patternFill patternType="solid">
        <fgColor rgb="FFD9D9D9"/>
        <bgColor rgb="FFDDEBF7"/>
      </patternFill>
    </fill>
    <fill>
      <patternFill patternType="solid">
        <fgColor rgb="FFFFD966"/>
        <bgColor rgb="FFFFCC00"/>
      </patternFill>
    </fill>
    <fill>
      <patternFill patternType="solid">
        <fgColor rgb="FFF2F2F2"/>
        <bgColor rgb="FFDDEBF7"/>
      </patternFill>
    </fill>
    <fill>
      <patternFill patternType="solid">
        <fgColor rgb="FFC6EFCE"/>
        <bgColor rgb="FFDDEBF7"/>
      </patternFill>
    </fill>
    <fill>
      <patternFill patternType="solid">
        <fgColor rgb="FFDDEBF7"/>
        <bgColor rgb="FFF2F2F2"/>
      </patternFill>
    </fill>
    <fill>
      <patternFill patternType="solid">
        <fgColor rgb="FFFFC7CE"/>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left" vertical="top" textRotation="0" wrapText="fals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false" indent="0" shrinkToFit="false"/>
      <protection locked="true" hidden="false"/>
    </xf>
    <xf numFmtId="164" fontId="6" fillId="8"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D966"/>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7"/>
    <col collapsed="false" customWidth="true" hidden="false" outlineLevel="0" max="3" min="3" style="0" width="5"/>
    <col collapsed="false" customWidth="true" hidden="false" outlineLevel="0" max="4" min="4" style="0" width="40"/>
    <col collapsed="false" customWidth="true" hidden="false" outlineLevel="0" max="5" min="5" style="0" width="18"/>
    <col collapsed="false" customWidth="true" hidden="false" outlineLevel="0" max="6" min="6" style="0" width="22"/>
    <col collapsed="false" customWidth="true" hidden="false" outlineLevel="0" max="7" min="7" style="0" width="16"/>
    <col collapsed="false" customWidth="true" hidden="false" outlineLevel="0" max="8" min="8" style="0" width="24"/>
    <col collapsed="false" customWidth="true" hidden="false" outlineLevel="0" max="10" min="9" style="0" width="9"/>
    <col collapsed="false" customWidth="true" hidden="false" outlineLevel="0" max="11" min="11" style="0" width="18"/>
    <col collapsed="false" customWidth="true" hidden="false" outlineLevel="0" max="12" min="12" style="0" width="58"/>
    <col collapsed="false" customWidth="true" hidden="false" outlineLevel="0" max="13" min="13" style="0" width="30"/>
    <col collapsed="false" customWidth="true" hidden="false" outlineLevel="0" max="14" min="14" style="0" width="2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 hidden="false" customHeight="false" outlineLevel="0" collapsed="false">
      <c r="A2" s="2" t="s">
        <v>14</v>
      </c>
      <c r="B2" s="2"/>
      <c r="C2" s="2"/>
      <c r="D2" s="2"/>
      <c r="E2" s="2"/>
      <c r="F2" s="2"/>
      <c r="G2" s="2"/>
      <c r="H2" s="2"/>
      <c r="I2" s="2"/>
      <c r="J2" s="2"/>
      <c r="K2" s="2"/>
      <c r="L2" s="2"/>
      <c r="M2" s="2"/>
      <c r="N2" s="2"/>
    </row>
    <row r="3" customFormat="false" ht="57.45" hidden="false" customHeight="false" outlineLevel="0" collapsed="false">
      <c r="A3" s="3" t="s">
        <v>15</v>
      </c>
      <c r="B3" s="4" t="s">
        <v>16</v>
      </c>
      <c r="C3" s="5" t="n">
        <v>1</v>
      </c>
      <c r="D3" s="6" t="s">
        <v>17</v>
      </c>
      <c r="E3" s="6" t="s">
        <v>18</v>
      </c>
      <c r="F3" s="4" t="s">
        <v>19</v>
      </c>
      <c r="G3" s="4" t="s">
        <v>20</v>
      </c>
      <c r="H3" s="4" t="s">
        <v>21</v>
      </c>
      <c r="I3" s="7" t="n">
        <v>1.62</v>
      </c>
      <c r="J3" s="7" t="n">
        <f aca="false">C3*I3</f>
        <v>1.62</v>
      </c>
      <c r="K3" s="6" t="s">
        <v>22</v>
      </c>
      <c r="L3" s="6" t="s">
        <v>23</v>
      </c>
      <c r="M3" s="6" t="s">
        <v>24</v>
      </c>
      <c r="N3" s="6" t="s">
        <v>25</v>
      </c>
    </row>
    <row r="4" customFormat="false" ht="15" hidden="false" customHeight="false" outlineLevel="0" collapsed="false">
      <c r="A4" s="8" t="s">
        <v>26</v>
      </c>
      <c r="B4" s="4" t="s">
        <v>27</v>
      </c>
      <c r="C4" s="5" t="n">
        <v>1</v>
      </c>
      <c r="D4" s="6" t="s">
        <v>28</v>
      </c>
      <c r="E4" s="6" t="s">
        <v>29</v>
      </c>
      <c r="F4" s="4" t="s">
        <v>30</v>
      </c>
      <c r="G4" s="4" t="s">
        <v>31</v>
      </c>
      <c r="H4" s="4" t="s">
        <v>32</v>
      </c>
      <c r="I4" s="7" t="n">
        <v>0.125</v>
      </c>
      <c r="J4" s="7" t="n">
        <f aca="false">C4*I4</f>
        <v>0.125</v>
      </c>
      <c r="K4" s="6" t="s">
        <v>33</v>
      </c>
      <c r="L4" s="6" t="s">
        <v>34</v>
      </c>
      <c r="M4" s="6" t="s">
        <v>35</v>
      </c>
      <c r="N4" s="6" t="s">
        <v>36</v>
      </c>
    </row>
    <row r="5" customFormat="false" ht="23.85" hidden="false" customHeight="false" outlineLevel="0" collapsed="false">
      <c r="A5" s="8" t="s">
        <v>26</v>
      </c>
      <c r="B5" s="4" t="s">
        <v>37</v>
      </c>
      <c r="C5" s="5" t="n">
        <v>1</v>
      </c>
      <c r="D5" s="6" t="s">
        <v>38</v>
      </c>
      <c r="E5" s="6" t="s">
        <v>39</v>
      </c>
      <c r="F5" s="4" t="s">
        <v>40</v>
      </c>
      <c r="G5" s="4" t="s">
        <v>41</v>
      </c>
      <c r="H5" s="4" t="s">
        <v>42</v>
      </c>
      <c r="I5" s="7" t="n">
        <v>6.98</v>
      </c>
      <c r="J5" s="7" t="n">
        <f aca="false">C5*I5</f>
        <v>6.98</v>
      </c>
      <c r="K5" s="6" t="s">
        <v>33</v>
      </c>
      <c r="L5" s="6" t="s">
        <v>43</v>
      </c>
      <c r="M5" s="6" t="s">
        <v>44</v>
      </c>
      <c r="N5" s="6" t="s">
        <v>45</v>
      </c>
    </row>
    <row r="6" customFormat="false" ht="68.65" hidden="false" customHeight="false" outlineLevel="0" collapsed="false">
      <c r="A6" s="3" t="s">
        <v>15</v>
      </c>
      <c r="B6" s="4" t="s">
        <v>46</v>
      </c>
      <c r="C6" s="5" t="n">
        <v>4</v>
      </c>
      <c r="D6" s="6" t="s">
        <v>47</v>
      </c>
      <c r="E6" s="6" t="s">
        <v>48</v>
      </c>
      <c r="F6" s="4" t="s">
        <v>49</v>
      </c>
      <c r="G6" s="4" t="s">
        <v>50</v>
      </c>
      <c r="H6" s="4" t="s">
        <v>51</v>
      </c>
      <c r="I6" s="7" t="n">
        <v>18</v>
      </c>
      <c r="J6" s="7" t="n">
        <f aca="false">C6*I6</f>
        <v>72</v>
      </c>
      <c r="K6" s="6" t="s">
        <v>52</v>
      </c>
      <c r="L6" s="6" t="s">
        <v>53</v>
      </c>
      <c r="M6" s="6" t="s">
        <v>54</v>
      </c>
      <c r="N6" s="6" t="s">
        <v>55</v>
      </c>
    </row>
    <row r="7" customFormat="false" ht="23.85" hidden="false" customHeight="false" outlineLevel="0" collapsed="false">
      <c r="A7" s="8" t="s">
        <v>26</v>
      </c>
      <c r="B7" s="4" t="s">
        <v>56</v>
      </c>
      <c r="C7" s="5" t="n">
        <v>4</v>
      </c>
      <c r="D7" s="6" t="s">
        <v>57</v>
      </c>
      <c r="E7" s="6" t="s">
        <v>58</v>
      </c>
      <c r="F7" s="4" t="s">
        <v>59</v>
      </c>
      <c r="G7" s="4" t="s">
        <v>60</v>
      </c>
      <c r="H7" s="4" t="s">
        <v>61</v>
      </c>
      <c r="I7" s="7" t="n">
        <v>0.273</v>
      </c>
      <c r="J7" s="7" t="n">
        <f aca="false">C7*I7</f>
        <v>1.092</v>
      </c>
      <c r="K7" s="6" t="s">
        <v>33</v>
      </c>
      <c r="L7" s="6" t="s">
        <v>62</v>
      </c>
      <c r="M7" s="6" t="s">
        <v>63</v>
      </c>
      <c r="N7" s="6" t="s">
        <v>64</v>
      </c>
    </row>
    <row r="8" customFormat="false" ht="23.85" hidden="false" customHeight="false" outlineLevel="0" collapsed="false">
      <c r="A8" s="8" t="s">
        <v>26</v>
      </c>
      <c r="B8" s="4" t="s">
        <v>65</v>
      </c>
      <c r="C8" s="5" t="n">
        <v>4</v>
      </c>
      <c r="D8" s="6" t="s">
        <v>66</v>
      </c>
      <c r="E8" s="6" t="s">
        <v>67</v>
      </c>
      <c r="F8" s="4" t="s">
        <v>68</v>
      </c>
      <c r="G8" s="4" t="s">
        <v>69</v>
      </c>
      <c r="H8" s="4" t="s">
        <v>70</v>
      </c>
      <c r="I8" s="7" t="n">
        <v>0.366</v>
      </c>
      <c r="J8" s="7" t="n">
        <f aca="false">C8*I8</f>
        <v>1.464</v>
      </c>
      <c r="K8" s="6" t="s">
        <v>33</v>
      </c>
      <c r="L8" s="6" t="s">
        <v>71</v>
      </c>
      <c r="M8" s="6" t="s">
        <v>72</v>
      </c>
      <c r="N8" s="6" t="s">
        <v>73</v>
      </c>
    </row>
    <row r="9" customFormat="false" ht="23.85" hidden="false" customHeight="false" outlineLevel="0" collapsed="false">
      <c r="A9" s="8" t="s">
        <v>74</v>
      </c>
      <c r="B9" s="4" t="s">
        <v>75</v>
      </c>
      <c r="C9" s="5" t="n">
        <v>1</v>
      </c>
      <c r="D9" s="6" t="s">
        <v>76</v>
      </c>
      <c r="E9" s="6" t="s">
        <v>77</v>
      </c>
      <c r="F9" s="4" t="s">
        <v>78</v>
      </c>
      <c r="G9" s="4" t="s">
        <v>79</v>
      </c>
      <c r="H9" s="4" t="s">
        <v>80</v>
      </c>
      <c r="I9" s="7" t="n">
        <v>0.0886</v>
      </c>
      <c r="J9" s="7" t="n">
        <f aca="false">C9*I9</f>
        <v>0.0886</v>
      </c>
      <c r="K9" s="6" t="s">
        <v>81</v>
      </c>
      <c r="L9" s="6" t="s">
        <v>82</v>
      </c>
      <c r="M9" s="6" t="s">
        <v>83</v>
      </c>
      <c r="N9" s="6" t="s">
        <v>84</v>
      </c>
    </row>
    <row r="10" customFormat="false" ht="35.05" hidden="false" customHeight="false" outlineLevel="0" collapsed="false">
      <c r="A10" s="8" t="s">
        <v>74</v>
      </c>
      <c r="B10" s="4" t="s">
        <v>85</v>
      </c>
      <c r="C10" s="5" t="n">
        <v>1</v>
      </c>
      <c r="D10" s="6" t="s">
        <v>86</v>
      </c>
      <c r="E10" s="6" t="s">
        <v>87</v>
      </c>
      <c r="F10" s="4" t="s">
        <v>78</v>
      </c>
      <c r="G10" s="4" t="s">
        <v>79</v>
      </c>
      <c r="H10" s="4" t="s">
        <v>80</v>
      </c>
      <c r="I10" s="7" t="n">
        <v>0.0886</v>
      </c>
      <c r="J10" s="7" t="n">
        <f aca="false">C10*I10</f>
        <v>0.0886</v>
      </c>
      <c r="K10" s="6" t="s">
        <v>88</v>
      </c>
      <c r="L10" s="6" t="s">
        <v>89</v>
      </c>
      <c r="M10" s="6" t="s">
        <v>83</v>
      </c>
      <c r="N10" s="6" t="s">
        <v>84</v>
      </c>
    </row>
    <row r="11" customFormat="false" ht="23.85" hidden="false" customHeight="false" outlineLevel="0" collapsed="false">
      <c r="A11" s="8" t="s">
        <v>74</v>
      </c>
      <c r="B11" s="4" t="s">
        <v>90</v>
      </c>
      <c r="C11" s="5" t="n">
        <v>1</v>
      </c>
      <c r="D11" s="6" t="s">
        <v>91</v>
      </c>
      <c r="E11" s="6" t="s">
        <v>87</v>
      </c>
      <c r="F11" s="4" t="s">
        <v>78</v>
      </c>
      <c r="G11" s="4" t="s">
        <v>79</v>
      </c>
      <c r="H11" s="4" t="s">
        <v>80</v>
      </c>
      <c r="I11" s="7" t="n">
        <v>0.0886</v>
      </c>
      <c r="J11" s="7" t="n">
        <f aca="false">C11*I11</f>
        <v>0.0886</v>
      </c>
      <c r="K11" s="6" t="s">
        <v>88</v>
      </c>
      <c r="L11" s="6" t="s">
        <v>92</v>
      </c>
      <c r="M11" s="6" t="s">
        <v>83</v>
      </c>
      <c r="N11" s="6" t="s">
        <v>84</v>
      </c>
    </row>
    <row r="12" customFormat="false" ht="35.05" hidden="false" customHeight="false" outlineLevel="0" collapsed="false">
      <c r="A12" s="8" t="s">
        <v>26</v>
      </c>
      <c r="B12" s="4" t="s">
        <v>93</v>
      </c>
      <c r="C12" s="5" t="n">
        <v>1</v>
      </c>
      <c r="D12" s="6" t="s">
        <v>94</v>
      </c>
      <c r="E12" s="6" t="s">
        <v>95</v>
      </c>
      <c r="F12" s="4" t="s">
        <v>96</v>
      </c>
      <c r="G12" s="4" t="s">
        <v>79</v>
      </c>
      <c r="H12" s="4" t="s">
        <v>97</v>
      </c>
      <c r="I12" s="7" t="n">
        <v>0.04</v>
      </c>
      <c r="J12" s="7" t="n">
        <f aca="false">C12*I12</f>
        <v>0.04</v>
      </c>
      <c r="K12" s="6" t="s">
        <v>33</v>
      </c>
      <c r="L12" s="6" t="s">
        <v>98</v>
      </c>
      <c r="M12" s="6" t="s">
        <v>99</v>
      </c>
      <c r="N12" s="6" t="s">
        <v>100</v>
      </c>
    </row>
    <row r="13" customFormat="false" ht="35.05" hidden="false" customHeight="false" outlineLevel="0" collapsed="false">
      <c r="A13" s="8" t="s">
        <v>26</v>
      </c>
      <c r="B13" s="4" t="s">
        <v>101</v>
      </c>
      <c r="C13" s="5" t="n">
        <v>1</v>
      </c>
      <c r="D13" s="6" t="s">
        <v>102</v>
      </c>
      <c r="E13" s="6" t="s">
        <v>103</v>
      </c>
      <c r="F13" s="4" t="s">
        <v>104</v>
      </c>
      <c r="G13" s="4" t="s">
        <v>105</v>
      </c>
      <c r="H13" s="4" t="s">
        <v>106</v>
      </c>
      <c r="I13" s="7" t="n">
        <v>0.3799</v>
      </c>
      <c r="J13" s="7" t="n">
        <f aca="false">C13*I13</f>
        <v>0.3799</v>
      </c>
      <c r="K13" s="6" t="s">
        <v>33</v>
      </c>
      <c r="L13" s="6" t="s">
        <v>107</v>
      </c>
      <c r="M13" s="6" t="s">
        <v>108</v>
      </c>
      <c r="N13" s="6" t="s">
        <v>109</v>
      </c>
    </row>
    <row r="14" customFormat="false" ht="46.25" hidden="false" customHeight="false" outlineLevel="0" collapsed="false">
      <c r="A14" s="8" t="s">
        <v>26</v>
      </c>
      <c r="B14" s="4" t="s">
        <v>110</v>
      </c>
      <c r="C14" s="5" t="n">
        <v>1</v>
      </c>
      <c r="D14" s="6" t="s">
        <v>111</v>
      </c>
      <c r="E14" s="6" t="s">
        <v>112</v>
      </c>
      <c r="F14" s="4" t="s">
        <v>113</v>
      </c>
      <c r="G14" s="4" t="s">
        <v>114</v>
      </c>
      <c r="H14" s="4" t="s">
        <v>115</v>
      </c>
      <c r="I14" s="7" t="n">
        <v>7.68</v>
      </c>
      <c r="J14" s="7" t="n">
        <f aca="false">C14*I14</f>
        <v>7.68</v>
      </c>
      <c r="K14" s="6" t="s">
        <v>116</v>
      </c>
      <c r="L14" s="6" t="s">
        <v>117</v>
      </c>
      <c r="M14" s="6" t="s">
        <v>118</v>
      </c>
      <c r="N14" s="6" t="s">
        <v>119</v>
      </c>
    </row>
    <row r="15" customFormat="false" ht="46.25" hidden="false" customHeight="false" outlineLevel="0" collapsed="false">
      <c r="A15" s="9" t="s">
        <v>120</v>
      </c>
      <c r="B15" s="4" t="s">
        <v>121</v>
      </c>
      <c r="C15" s="5" t="n">
        <v>2</v>
      </c>
      <c r="D15" s="6" t="s">
        <v>122</v>
      </c>
      <c r="E15" s="6" t="s">
        <v>123</v>
      </c>
      <c r="F15" s="4" t="s">
        <v>96</v>
      </c>
      <c r="G15" s="4" t="s">
        <v>124</v>
      </c>
      <c r="H15" s="4" t="s">
        <v>125</v>
      </c>
      <c r="I15" s="7" t="n">
        <v>0.05</v>
      </c>
      <c r="J15" s="7" t="n">
        <f aca="false">C15*I15</f>
        <v>0.1</v>
      </c>
      <c r="K15" s="6" t="s">
        <v>126</v>
      </c>
      <c r="L15" s="6" t="s">
        <v>127</v>
      </c>
      <c r="M15" s="6" t="s">
        <v>18</v>
      </c>
      <c r="N15" s="6" t="s">
        <v>124</v>
      </c>
    </row>
    <row r="16" customFormat="false" ht="23.85" hidden="false" customHeight="false" outlineLevel="0" collapsed="false">
      <c r="A16" s="9" t="s">
        <v>120</v>
      </c>
      <c r="B16" s="4" t="s">
        <v>128</v>
      </c>
      <c r="C16" s="5" t="n">
        <v>1</v>
      </c>
      <c r="D16" s="6" t="s">
        <v>129</v>
      </c>
      <c r="E16" s="6" t="s">
        <v>130</v>
      </c>
      <c r="F16" s="4" t="s">
        <v>96</v>
      </c>
      <c r="G16" s="4" t="s">
        <v>124</v>
      </c>
      <c r="H16" s="4" t="s">
        <v>124</v>
      </c>
      <c r="I16" s="7" t="n">
        <v>0.04</v>
      </c>
      <c r="J16" s="7" t="n">
        <f aca="false">C16*I16</f>
        <v>0.04</v>
      </c>
      <c r="K16" s="6" t="s">
        <v>126</v>
      </c>
      <c r="L16" s="6" t="s">
        <v>131</v>
      </c>
      <c r="M16" s="6" t="s">
        <v>18</v>
      </c>
      <c r="N16" s="6" t="s">
        <v>124</v>
      </c>
    </row>
    <row r="17" customFormat="false" ht="35.05" hidden="false" customHeight="false" outlineLevel="0" collapsed="false">
      <c r="A17" s="9" t="s">
        <v>120</v>
      </c>
      <c r="B17" s="4" t="s">
        <v>132</v>
      </c>
      <c r="C17" s="5" t="n">
        <v>1</v>
      </c>
      <c r="D17" s="6" t="s">
        <v>133</v>
      </c>
      <c r="E17" s="6" t="s">
        <v>134</v>
      </c>
      <c r="F17" s="4" t="s">
        <v>96</v>
      </c>
      <c r="G17" s="4" t="s">
        <v>124</v>
      </c>
      <c r="H17" s="4" t="s">
        <v>135</v>
      </c>
      <c r="I17" s="7" t="n">
        <v>0.02</v>
      </c>
      <c r="J17" s="7" t="n">
        <f aca="false">C17*I17</f>
        <v>0.02</v>
      </c>
      <c r="K17" s="6" t="s">
        <v>136</v>
      </c>
      <c r="L17" s="6" t="s">
        <v>137</v>
      </c>
      <c r="M17" s="6" t="s">
        <v>18</v>
      </c>
      <c r="N17" s="6" t="s">
        <v>124</v>
      </c>
    </row>
    <row r="18" customFormat="false" ht="23.85" hidden="false" customHeight="false" outlineLevel="0" collapsed="false">
      <c r="G18" s="10" t="s">
        <v>138</v>
      </c>
      <c r="J18" s="11" t="n">
        <f aca="false">SUM(J3:J17)</f>
        <v>91.8067</v>
      </c>
      <c r="L18" s="12" t="s">
        <v>139</v>
      </c>
    </row>
    <row r="19" customFormat="false" ht="15" hidden="false" customHeight="false" outlineLevel="0" collapsed="false">
      <c r="A19" s="2" t="s">
        <v>140</v>
      </c>
      <c r="B19" s="2"/>
      <c r="C19" s="2"/>
      <c r="D19" s="2"/>
      <c r="E19" s="2"/>
      <c r="F19" s="2"/>
      <c r="G19" s="2"/>
      <c r="H19" s="2"/>
      <c r="I19" s="2"/>
      <c r="J19" s="2"/>
      <c r="K19" s="2"/>
      <c r="L19" s="2"/>
      <c r="M19" s="2"/>
      <c r="N19" s="2"/>
    </row>
    <row r="20" customFormat="false" ht="46.25" hidden="false" customHeight="false" outlineLevel="0" collapsed="false">
      <c r="A20" s="9" t="s">
        <v>120</v>
      </c>
      <c r="B20" s="4" t="s">
        <v>141</v>
      </c>
      <c r="C20" s="5" t="n">
        <v>4</v>
      </c>
      <c r="D20" s="6" t="s">
        <v>142</v>
      </c>
      <c r="E20" s="6" t="s">
        <v>143</v>
      </c>
      <c r="F20" s="4" t="s">
        <v>144</v>
      </c>
      <c r="G20" s="4" t="s">
        <v>18</v>
      </c>
      <c r="H20" s="4" t="s">
        <v>145</v>
      </c>
      <c r="I20" s="4"/>
      <c r="J20" s="4"/>
      <c r="K20" s="6" t="s">
        <v>146</v>
      </c>
      <c r="L20" s="6" t="s">
        <v>147</v>
      </c>
      <c r="M20" s="6" t="s">
        <v>18</v>
      </c>
      <c r="N20" s="6" t="s">
        <v>18</v>
      </c>
    </row>
    <row r="21" customFormat="false" ht="46.25" hidden="false" customHeight="false" outlineLevel="0" collapsed="false">
      <c r="A21" s="13" t="s">
        <v>148</v>
      </c>
      <c r="B21" s="4" t="s">
        <v>149</v>
      </c>
      <c r="C21" s="5" t="n">
        <v>1</v>
      </c>
      <c r="D21" s="6" t="s">
        <v>150</v>
      </c>
      <c r="E21" s="6" t="s">
        <v>151</v>
      </c>
      <c r="F21" s="4" t="s">
        <v>152</v>
      </c>
      <c r="G21" s="4" t="s">
        <v>153</v>
      </c>
      <c r="H21" s="4" t="s">
        <v>154</v>
      </c>
      <c r="I21" s="4"/>
      <c r="J21" s="4"/>
      <c r="K21" s="6" t="s">
        <v>155</v>
      </c>
      <c r="L21" s="6" t="s">
        <v>156</v>
      </c>
      <c r="M21" s="6" t="s">
        <v>18</v>
      </c>
      <c r="N21" s="6" t="s">
        <v>18</v>
      </c>
    </row>
    <row r="22" customFormat="false" ht="57.45" hidden="false" customHeight="false" outlineLevel="0" collapsed="false">
      <c r="A22" s="9" t="s">
        <v>120</v>
      </c>
      <c r="B22" s="4" t="s">
        <v>157</v>
      </c>
      <c r="C22" s="5" t="n">
        <v>1</v>
      </c>
      <c r="D22" s="6" t="s">
        <v>158</v>
      </c>
      <c r="E22" s="6" t="s">
        <v>18</v>
      </c>
      <c r="F22" s="4" t="s">
        <v>159</v>
      </c>
      <c r="G22" s="4" t="s">
        <v>160</v>
      </c>
      <c r="H22" s="4" t="s">
        <v>161</v>
      </c>
      <c r="I22" s="4"/>
      <c r="J22" s="4"/>
      <c r="K22" s="6" t="s">
        <v>162</v>
      </c>
      <c r="L22" s="6" t="s">
        <v>163</v>
      </c>
      <c r="M22" s="6" t="s">
        <v>164</v>
      </c>
      <c r="N22" s="6" t="s">
        <v>165</v>
      </c>
    </row>
    <row r="23" customFormat="false" ht="23.85" hidden="false" customHeight="false" outlineLevel="0" collapsed="false">
      <c r="A23" s="8" t="s">
        <v>26</v>
      </c>
      <c r="B23" s="4" t="s">
        <v>166</v>
      </c>
      <c r="C23" s="5" t="n">
        <v>1</v>
      </c>
      <c r="D23" s="6" t="s">
        <v>167</v>
      </c>
      <c r="E23" s="6" t="s">
        <v>18</v>
      </c>
      <c r="F23" s="4" t="s">
        <v>168</v>
      </c>
      <c r="G23" s="4" t="s">
        <v>18</v>
      </c>
      <c r="H23" s="4" t="s">
        <v>145</v>
      </c>
      <c r="I23" s="4"/>
      <c r="J23" s="4"/>
      <c r="K23" s="6" t="s">
        <v>169</v>
      </c>
      <c r="L23" s="6" t="s">
        <v>170</v>
      </c>
      <c r="M23" s="6" t="s">
        <v>18</v>
      </c>
      <c r="N23" s="6" t="s">
        <v>18</v>
      </c>
    </row>
    <row r="24" customFormat="false" ht="23.85" hidden="false" customHeight="false" outlineLevel="0" collapsed="false">
      <c r="A24" s="8" t="s">
        <v>26</v>
      </c>
      <c r="B24" s="4" t="s">
        <v>171</v>
      </c>
      <c r="C24" s="5" t="n">
        <v>1</v>
      </c>
      <c r="D24" s="6" t="s">
        <v>172</v>
      </c>
      <c r="E24" s="6" t="s">
        <v>18</v>
      </c>
      <c r="F24" s="4" t="s">
        <v>173</v>
      </c>
      <c r="G24" s="4" t="s">
        <v>18</v>
      </c>
      <c r="H24" s="4" t="s">
        <v>145</v>
      </c>
      <c r="I24" s="4"/>
      <c r="J24" s="4"/>
      <c r="K24" s="6" t="s">
        <v>169</v>
      </c>
      <c r="L24" s="6" t="s">
        <v>174</v>
      </c>
      <c r="M24" s="6" t="s">
        <v>18</v>
      </c>
      <c r="N24" s="6" t="s">
        <v>18</v>
      </c>
    </row>
    <row r="25" customFormat="false" ht="35.05" hidden="false" customHeight="false" outlineLevel="0" collapsed="false">
      <c r="A25" s="9" t="s">
        <v>120</v>
      </c>
      <c r="B25" s="4" t="s">
        <v>175</v>
      </c>
      <c r="C25" s="5" t="n">
        <v>1</v>
      </c>
      <c r="D25" s="6" t="s">
        <v>176</v>
      </c>
      <c r="E25" s="6" t="s">
        <v>177</v>
      </c>
      <c r="F25" s="4" t="s">
        <v>178</v>
      </c>
      <c r="G25" s="4" t="s">
        <v>177</v>
      </c>
      <c r="H25" s="4" t="s">
        <v>179</v>
      </c>
      <c r="I25" s="4"/>
      <c r="J25" s="4"/>
      <c r="K25" s="6" t="s">
        <v>136</v>
      </c>
      <c r="L25" s="6" t="s">
        <v>180</v>
      </c>
      <c r="M25" s="6" t="s">
        <v>177</v>
      </c>
      <c r="N25" s="6" t="s">
        <v>177</v>
      </c>
    </row>
    <row r="26" customFormat="false" ht="46.25" hidden="false" customHeight="false" outlineLevel="0" collapsed="false">
      <c r="A26" s="14" t="s">
        <v>181</v>
      </c>
      <c r="B26" s="4" t="s">
        <v>182</v>
      </c>
      <c r="C26" s="5" t="n">
        <v>0</v>
      </c>
      <c r="D26" s="6" t="s">
        <v>183</v>
      </c>
      <c r="E26" s="6" t="s">
        <v>18</v>
      </c>
      <c r="F26" s="4" t="s">
        <v>184</v>
      </c>
      <c r="G26" s="4" t="s">
        <v>18</v>
      </c>
      <c r="H26" s="4" t="s">
        <v>145</v>
      </c>
      <c r="I26" s="4"/>
      <c r="J26" s="4"/>
      <c r="K26" s="6" t="s">
        <v>185</v>
      </c>
      <c r="L26" s="6" t="s">
        <v>186</v>
      </c>
      <c r="M26" s="6" t="s">
        <v>18</v>
      </c>
      <c r="N26" s="6" t="s">
        <v>18</v>
      </c>
    </row>
    <row r="27" customFormat="false" ht="23.85" hidden="false" customHeight="false" outlineLevel="0" collapsed="false">
      <c r="A27" s="8" t="s">
        <v>26</v>
      </c>
      <c r="B27" s="4" t="s">
        <v>187</v>
      </c>
      <c r="C27" s="5" t="n">
        <v>4</v>
      </c>
      <c r="D27" s="6" t="s">
        <v>188</v>
      </c>
      <c r="E27" s="6" t="s">
        <v>189</v>
      </c>
      <c r="F27" s="4" t="s">
        <v>190</v>
      </c>
      <c r="G27" s="4" t="s">
        <v>18</v>
      </c>
      <c r="H27" s="4" t="s">
        <v>145</v>
      </c>
      <c r="I27" s="4"/>
      <c r="J27" s="4"/>
      <c r="K27" s="6" t="s">
        <v>169</v>
      </c>
      <c r="L27" s="6" t="s">
        <v>191</v>
      </c>
      <c r="M27" s="6" t="s">
        <v>18</v>
      </c>
      <c r="N27" s="6" t="s">
        <v>18</v>
      </c>
    </row>
    <row r="28" customFormat="false" ht="15" hidden="false" customHeight="false" outlineLevel="0" collapsed="false">
      <c r="A28" s="2" t="s">
        <v>192</v>
      </c>
      <c r="B28" s="2"/>
      <c r="C28" s="2"/>
      <c r="D28" s="2"/>
      <c r="E28" s="2"/>
      <c r="F28" s="2"/>
      <c r="G28" s="2"/>
      <c r="H28" s="2"/>
      <c r="I28" s="2"/>
      <c r="J28" s="2"/>
      <c r="K28" s="2"/>
      <c r="L28" s="2"/>
      <c r="M28" s="2"/>
      <c r="N28" s="2"/>
    </row>
    <row r="29" customFormat="false" ht="23.85" hidden="false" customHeight="false" outlineLevel="0" collapsed="false">
      <c r="A29" s="8" t="s">
        <v>26</v>
      </c>
      <c r="B29" s="4" t="s">
        <v>193</v>
      </c>
      <c r="C29" s="5" t="n">
        <v>2</v>
      </c>
      <c r="D29" s="6" t="s">
        <v>194</v>
      </c>
      <c r="E29" s="6" t="s">
        <v>195</v>
      </c>
      <c r="F29" s="4" t="s">
        <v>196</v>
      </c>
      <c r="G29" s="4" t="s">
        <v>197</v>
      </c>
      <c r="H29" s="4" t="s">
        <v>198</v>
      </c>
      <c r="I29" s="7" t="n">
        <v>0.579</v>
      </c>
      <c r="J29" s="7" t="n">
        <f aca="false">C29*I29</f>
        <v>1.158</v>
      </c>
      <c r="K29" s="6" t="s">
        <v>199</v>
      </c>
      <c r="L29" s="6" t="s">
        <v>200</v>
      </c>
      <c r="M29" s="6" t="s">
        <v>201</v>
      </c>
      <c r="N29" s="6" t="s">
        <v>202</v>
      </c>
    </row>
    <row r="30" customFormat="false" ht="23.85" hidden="false" customHeight="false" outlineLevel="0" collapsed="false">
      <c r="A30" s="8" t="s">
        <v>26</v>
      </c>
      <c r="B30" s="4" t="s">
        <v>203</v>
      </c>
      <c r="C30" s="5" t="n">
        <v>2</v>
      </c>
      <c r="D30" s="6" t="s">
        <v>204</v>
      </c>
      <c r="E30" s="6" t="s">
        <v>205</v>
      </c>
      <c r="F30" s="4" t="s">
        <v>30</v>
      </c>
      <c r="G30" s="4" t="s">
        <v>31</v>
      </c>
      <c r="H30" s="4" t="s">
        <v>206</v>
      </c>
      <c r="I30" s="7" t="n">
        <v>0.089</v>
      </c>
      <c r="J30" s="7" t="n">
        <f aca="false">C30*I30</f>
        <v>0.178</v>
      </c>
      <c r="K30" s="6" t="s">
        <v>33</v>
      </c>
      <c r="L30" s="6" t="s">
        <v>207</v>
      </c>
      <c r="M30" s="6" t="s">
        <v>208</v>
      </c>
      <c r="N30" s="6" t="s">
        <v>209</v>
      </c>
    </row>
    <row r="31" customFormat="false" ht="23.85" hidden="false" customHeight="false" outlineLevel="0" collapsed="false">
      <c r="A31" s="8" t="s">
        <v>26</v>
      </c>
      <c r="B31" s="4" t="s">
        <v>210</v>
      </c>
      <c r="C31" s="5" t="n">
        <v>2</v>
      </c>
      <c r="D31" s="6" t="s">
        <v>211</v>
      </c>
      <c r="E31" s="6" t="s">
        <v>212</v>
      </c>
      <c r="F31" s="4" t="s">
        <v>213</v>
      </c>
      <c r="G31" s="4" t="s">
        <v>18</v>
      </c>
      <c r="H31" s="4" t="s">
        <v>214</v>
      </c>
      <c r="I31" s="7" t="n">
        <v>0.55</v>
      </c>
      <c r="J31" s="7" t="n">
        <f aca="false">C31*I31</f>
        <v>1.1</v>
      </c>
      <c r="K31" s="6" t="s">
        <v>215</v>
      </c>
      <c r="L31" s="6" t="s">
        <v>216</v>
      </c>
      <c r="M31" s="6" t="s">
        <v>217</v>
      </c>
      <c r="N31" s="6" t="s">
        <v>18</v>
      </c>
    </row>
    <row r="32" customFormat="false" ht="23.85" hidden="false" customHeight="false" outlineLevel="0" collapsed="false">
      <c r="G32" s="10" t="s">
        <v>218</v>
      </c>
      <c r="J32" s="11" t="n">
        <f aca="false">SUM(J29:J31)</f>
        <v>2.436</v>
      </c>
      <c r="L32" s="12" t="s">
        <v>219</v>
      </c>
    </row>
    <row r="33" customFormat="false" ht="15" hidden="false" customHeight="false" outlineLevel="0" collapsed="false">
      <c r="A33" s="15" t="s">
        <v>220</v>
      </c>
      <c r="B33" s="15"/>
      <c r="C33" s="15"/>
      <c r="D33" s="15"/>
      <c r="E33" s="15"/>
      <c r="F33" s="15"/>
      <c r="G33" s="15"/>
      <c r="H33" s="15"/>
      <c r="I33" s="15"/>
      <c r="J33" s="15"/>
      <c r="K33" s="15"/>
      <c r="L33" s="15"/>
      <c r="M33" s="15"/>
      <c r="N33" s="15"/>
    </row>
  </sheetData>
  <mergeCells count="4">
    <mergeCell ref="A2:N2"/>
    <mergeCell ref="A19:N19"/>
    <mergeCell ref="A28:N28"/>
    <mergeCell ref="A33:N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4" min="3" style="0" width="34"/>
    <col collapsed="false" customWidth="true" hidden="false" outlineLevel="0" max="5" min="5" style="0" width="60"/>
  </cols>
  <sheetData>
    <row r="1" customFormat="false" ht="15" hidden="false" customHeight="false" outlineLevel="0" collapsed="false">
      <c r="A1" s="1" t="s">
        <v>221</v>
      </c>
      <c r="B1" s="1" t="s">
        <v>222</v>
      </c>
      <c r="C1" s="1" t="s">
        <v>223</v>
      </c>
      <c r="D1" s="1" t="s">
        <v>224</v>
      </c>
      <c r="E1" s="1" t="s">
        <v>225</v>
      </c>
    </row>
    <row r="2" customFormat="false" ht="23.85" hidden="false" customHeight="false" outlineLevel="0" collapsed="false">
      <c r="A2" s="16" t="s">
        <v>15</v>
      </c>
      <c r="B2" s="6" t="s">
        <v>226</v>
      </c>
      <c r="C2" s="6" t="s">
        <v>227</v>
      </c>
      <c r="D2" s="6" t="s">
        <v>228</v>
      </c>
      <c r="E2" s="6" t="s">
        <v>229</v>
      </c>
    </row>
    <row r="3" customFormat="false" ht="35.05" hidden="false" customHeight="false" outlineLevel="0" collapsed="false">
      <c r="A3" s="16" t="s">
        <v>15</v>
      </c>
      <c r="B3" s="6" t="s">
        <v>230</v>
      </c>
      <c r="C3" s="6" t="s">
        <v>231</v>
      </c>
      <c r="D3" s="6" t="s">
        <v>232</v>
      </c>
      <c r="E3" s="6" t="s">
        <v>233</v>
      </c>
    </row>
    <row r="4" customFormat="false" ht="23.85" hidden="false" customHeight="false" outlineLevel="0" collapsed="false">
      <c r="A4" s="17" t="s">
        <v>120</v>
      </c>
      <c r="B4" s="6" t="s">
        <v>234</v>
      </c>
      <c r="C4" s="6" t="s">
        <v>18</v>
      </c>
      <c r="D4" s="6" t="s">
        <v>235</v>
      </c>
      <c r="E4" s="6" t="s">
        <v>236</v>
      </c>
    </row>
    <row r="5" customFormat="false" ht="15" hidden="false" customHeight="false" outlineLevel="0" collapsed="false">
      <c r="A5" s="17" t="s">
        <v>120</v>
      </c>
      <c r="B5" s="6" t="s">
        <v>132</v>
      </c>
      <c r="C5" s="6" t="s">
        <v>18</v>
      </c>
      <c r="D5" s="6" t="s">
        <v>237</v>
      </c>
      <c r="E5" s="6" t="s">
        <v>238</v>
      </c>
    </row>
    <row r="6" customFormat="false" ht="23.85" hidden="false" customHeight="false" outlineLevel="0" collapsed="false">
      <c r="A6" s="17" t="s">
        <v>120</v>
      </c>
      <c r="B6" s="6" t="s">
        <v>239</v>
      </c>
      <c r="C6" s="6" t="s">
        <v>18</v>
      </c>
      <c r="D6" s="6" t="s">
        <v>240</v>
      </c>
      <c r="E6" s="6" t="s">
        <v>241</v>
      </c>
    </row>
    <row r="7" customFormat="false" ht="15" hidden="false" customHeight="false" outlineLevel="0" collapsed="false">
      <c r="A7" s="18" t="s">
        <v>148</v>
      </c>
      <c r="B7" s="6" t="s">
        <v>149</v>
      </c>
      <c r="C7" s="6" t="s">
        <v>18</v>
      </c>
      <c r="D7" s="6" t="s">
        <v>242</v>
      </c>
      <c r="E7" s="6" t="s">
        <v>243</v>
      </c>
    </row>
    <row r="8" customFormat="false" ht="35.05" hidden="false" customHeight="false" outlineLevel="0" collapsed="false">
      <c r="A8" s="17" t="s">
        <v>120</v>
      </c>
      <c r="B8" s="6" t="s">
        <v>157</v>
      </c>
      <c r="C8" s="6" t="s">
        <v>244</v>
      </c>
      <c r="D8" s="6" t="s">
        <v>245</v>
      </c>
      <c r="E8" s="6" t="s">
        <v>246</v>
      </c>
    </row>
    <row r="9" customFormat="false" ht="23.85" hidden="false" customHeight="false" outlineLevel="0" collapsed="false">
      <c r="A9" s="17" t="s">
        <v>120</v>
      </c>
      <c r="B9" s="6" t="s">
        <v>175</v>
      </c>
      <c r="C9" s="6" t="s">
        <v>177</v>
      </c>
      <c r="D9" s="6" t="s">
        <v>247</v>
      </c>
      <c r="E9" s="6" t="s">
        <v>248</v>
      </c>
    </row>
    <row r="10" customFormat="false" ht="23.85" hidden="false" customHeight="false" outlineLevel="0" collapsed="false">
      <c r="A10" s="19" t="s">
        <v>181</v>
      </c>
      <c r="B10" s="6" t="s">
        <v>182</v>
      </c>
      <c r="C10" s="6" t="s">
        <v>249</v>
      </c>
      <c r="D10" s="6" t="s">
        <v>250</v>
      </c>
      <c r="E10" s="6" t="s">
        <v>251</v>
      </c>
    </row>
    <row r="11" customFormat="false" ht="23.85" hidden="false" customHeight="false" outlineLevel="0" collapsed="false">
      <c r="A11" s="20" t="s">
        <v>252</v>
      </c>
      <c r="B11" s="6" t="s">
        <v>253</v>
      </c>
      <c r="C11" s="6" t="s">
        <v>254</v>
      </c>
      <c r="D11" s="6" t="s">
        <v>255</v>
      </c>
      <c r="E11" s="6" t="s">
        <v>256</v>
      </c>
    </row>
    <row r="12" customFormat="false" ht="23.85" hidden="false" customHeight="false" outlineLevel="0" collapsed="false">
      <c r="A12" s="20" t="s">
        <v>257</v>
      </c>
      <c r="B12" s="6" t="s">
        <v>258</v>
      </c>
      <c r="C12" s="6" t="s">
        <v>259</v>
      </c>
      <c r="D12" s="6" t="s">
        <v>260</v>
      </c>
      <c r="E12" s="6" t="s">
        <v>261</v>
      </c>
    </row>
    <row r="13" customFormat="false" ht="23.85" hidden="false" customHeight="false" outlineLevel="0" collapsed="false">
      <c r="A13" s="20" t="s">
        <v>26</v>
      </c>
      <c r="B13" s="6" t="s">
        <v>262</v>
      </c>
      <c r="C13" s="6" t="s">
        <v>18</v>
      </c>
      <c r="D13" s="6" t="s">
        <v>263</v>
      </c>
      <c r="E13" s="6"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2026-06-21T16:07:16Z</dcterms:created>
  <dc:creator>openpyxl</dc:creator>
  <dc:description/>
  <dc:language>en-US</dc:language>
  <cp:lastModifiedBy/>
  <dcterms:modified xsi:type="dcterms:W3CDTF">2026-06-21T16:07:17Z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