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AR-GLOW DRH v2.1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<sst xmlns="http://schemas.openxmlformats.org/spreadsheetml/2006/main" count="307" uniqueCount="192">
  <si>
    <t xml:space="preserve">Ref(s)</t>
  </si>
  <si>
    <t xml:space="preserve">Qty</t>
  </si>
  <si>
    <t xml:space="preserve">Function</t>
  </si>
  <si>
    <t xml:space="preserve">Value</t>
  </si>
  <si>
    <t xml:space="preserve">Package / Footprint</t>
  </si>
  <si>
    <t xml:space="preserve">Mfr</t>
  </si>
  <si>
    <t xml:space="preserve">MPN (orderable)</t>
  </si>
  <si>
    <t xml:space="preserve">≈$/ea*</t>
  </si>
  <si>
    <t xml:space="preserve">Ext $</t>
  </si>
  <si>
    <t xml:space="preserve">Status</t>
  </si>
  <si>
    <t xml:space="preserve">Sourcing note / flag</t>
  </si>
  <si>
    <t xml:space="preserve">Datasheet (repo)</t>
  </si>
  <si>
    <t xml:space="preserve">DigiKey P/N</t>
  </si>
  <si>
    <t xml:space="preserve">U1</t>
  </si>
  <si>
    <t xml:space="preserve">MCU — 8-bit AVR; PWM, I²C, charge/sleep logic</t>
  </si>
  <si>
    <t xml:space="preserve">AVR64DD28, 64 KB, 24 MHz</t>
  </si>
  <si>
    <t xml:space="preserve">VQFN-28 (4×4×1.0 mm, w/ EP)</t>
  </si>
  <si>
    <t xml:space="preserve">Microchip</t>
  </si>
  <si>
    <t xml:space="preserve">AVR64DD28-I/STX</t>
  </si>
  <si>
    <t xml:space="preserve">LOCKED</t>
  </si>
  <si>
    <t xml:space="preserve">VQFN land has an exposed pad → EP to GND. /STX confirmed = VQFN-28 (4×4).</t>
  </si>
  <si>
    <t xml:space="preserve">AVR64DD32-28-Complete-DataSheet-DS40002315.pdf</t>
  </si>
  <si>
    <t xml:space="preserve">(by MPN)</t>
  </si>
  <si>
    <t xml:space="preserve">PV1, PV2</t>
  </si>
  <si>
    <t xml:space="preserve">Indoor solar cells (charge the supercap stack); parallel via per-panel Schottky</t>
  </si>
  <si>
    <t xml:space="preserve">Voc 4.15 V, 184 mW, mono, 1.2 mm thick</t>
  </si>
  <si>
    <t xml:space="preserve">42×23×1.2 mm, custom land</t>
  </si>
  <si>
    <t xml:space="preserve">ANYSOLAR (IXOLAR)</t>
  </si>
  <si>
    <t xml:space="preserve">SM141K06TF</t>
  </si>
  <si>
    <t xml:space="preserve">TF = the 1.2 mm 'thin' variant; electrically identical to the 1.8 mm SM141K06L. Same 42×23 land.</t>
  </si>
  <si>
    <t xml:space="preserve">SM141K06TF DATA SHEET 202105.pdf</t>
  </si>
  <si>
    <t xml:space="preserve">D1, D9</t>
  </si>
  <si>
    <t xml:space="preserve">Per-panel blocking Schottky (VIN/VINB→VS); isolates cells + caps in the dark</t>
  </si>
  <si>
    <t xml:space="preserve">Schottky, Vf≈0.3–0.6 V</t>
  </si>
  <si>
    <t xml:space="preserve">SOD-123</t>
  </si>
  <si>
    <t xml:space="preserve">onsemi</t>
  </si>
  <si>
    <t xml:space="preserve">MMSD301T1G</t>
  </si>
  <si>
    <t xml:space="preserve">Low-Vf for the ~4 V solar; one per panel so a half-shadow can't back-feed.</t>
  </si>
  <si>
    <t xml:space="preserve">MMSD301T1-D.PDF</t>
  </si>
  <si>
    <t xml:space="preserve">MMSD301T1GOSCT-ND</t>
  </si>
  <si>
    <t xml:space="preserve">SC1–SC4</t>
  </si>
  <si>
    <t xml:space="preserve">Supercap energy tank — 2P2S → 1 F @ 5.5 V ≈ 15 J</t>
  </si>
  <si>
    <t xml:space="preserve">1 F, 2.75 V (WS17)</t>
  </si>
  <si>
    <t xml:space="preserve">WS17 (under-body P/N pads)</t>
  </si>
  <si>
    <t xml:space="preserve">SCHURTER</t>
  </si>
  <si>
    <t xml:space="preserve">3-153-438</t>
  </si>
  <si>
    <t xml:space="preserve">⚠ DOMINANT COST. Solder to the under-body flat pads (asymmetric P/N widths = polarity key), NOT the end tabs. Confirm live price.</t>
  </si>
  <si>
    <t xml:space="preserve">typ_SCPC-2.pdf</t>
  </si>
  <si>
    <t xml:space="preserve">U2</t>
  </si>
  <si>
    <t xml:space="preserve">Supercap balancer — dual SAB MOSFET across the MID node (auto leakage balance; keeps each cell &lt;2.75 V)</t>
  </si>
  <si>
    <t xml:space="preserve">Dual SAB, ~0.3 nA–1 mA</t>
  </si>
  <si>
    <t xml:space="preserve">SOIC-8</t>
  </si>
  <si>
    <t xml:space="preserve">Advanced Linear Devices</t>
  </si>
  <si>
    <t xml:space="preserve">ALD910025SALI</t>
  </si>
  <si>
    <t xml:space="preserve">ALD810025-2.pdf is the combined 810025/910025 datasheet — it covers this dual. SALI = industrial temp.</t>
  </si>
  <si>
    <t xml:space="preserve">ALD810025-2.pdf</t>
  </si>
  <si>
    <t xml:space="preserve">ALD910025SALI-ND</t>
  </si>
  <si>
    <t xml:space="preserve">D2–D5</t>
  </si>
  <si>
    <t xml:space="preserve">Glow LEDs — reverse-mount; emit through the bare-FR4 'DRH' window</t>
  </si>
  <si>
    <t xml:space="preserve">Amber 617 nm, Vf≈2.25 V</t>
  </si>
  <si>
    <t xml:space="preserve">PointLED 2-SMD flat-lead, ~3.4×1.25 mm</t>
  </si>
  <si>
    <t xml:space="preserve">ams OSRAM</t>
  </si>
  <si>
    <t xml:space="preserve">LA P47F-V2BB-24-3B5A-30-R18-Z</t>
  </si>
  <si>
    <t xml:space="preserve">Reverse-mount; light path runs through the all-layer keepout window.</t>
  </si>
  <si>
    <t xml:space="preserve">LA P47F_EN-2.pdf</t>
  </si>
  <si>
    <t xml:space="preserve">475-LAP47F-V2BB-24-3B5A-30-R18-ZCT-ND</t>
  </si>
  <si>
    <t xml:space="preserve">R1–R4</t>
  </si>
  <si>
    <t xml:space="preserve">LED ballast — one per LED; sets per-LED current (low-side PWM)</t>
  </si>
  <si>
    <t xml:space="preserve">150 Ω, ±1%, 25 ppm/°C</t>
  </si>
  <si>
    <t xml:space="preserve">1206</t>
  </si>
  <si>
    <t xml:space="preserve">Vishay Dale</t>
  </si>
  <si>
    <t xml:space="preserve">TNPW1206150RFEEA</t>
  </si>
  <si>
    <t xml:space="preserve">SIZED</t>
  </si>
  <si>
    <t xml:space="preserve">Sized for the clamped ~3.47 V rail (~9 mA/LED peak); PWM trims the average below that. Re-tune after the energy-budget bench test.</t>
  </si>
  <si>
    <t xml:space="preserve">tnpw_e3.pdf</t>
  </si>
  <si>
    <t xml:space="preserve">R12</t>
  </si>
  <si>
    <t xml:space="preserve">TINY-mode ballast — dims all LEDs via SW2 'TINY' for long-runtime glow</t>
  </si>
  <si>
    <t xml:space="preserve">220 Ω, ±1%</t>
  </si>
  <si>
    <t xml:space="preserve">0805</t>
  </si>
  <si>
    <t xml:space="preserve">Yageo</t>
  </si>
  <si>
    <t xml:space="preserve">RC0805FR-07220RL</t>
  </si>
  <si>
    <t xml:space="preserve">Sets the SW2 TINY dim level; tunable.</t>
  </si>
  <si>
    <t xml:space="preserve">—</t>
  </si>
  <si>
    <t xml:space="preserve">R5, R6</t>
  </si>
  <si>
    <t xml:space="preserve">VSENSE divider — taps the solar input (VIN÷2) into PD2</t>
  </si>
  <si>
    <t xml:space="preserve">1 MΩ, ±1%</t>
  </si>
  <si>
    <t xml:space="preserve">RC0805FR-071ML</t>
  </si>
  <si>
    <t xml:space="preserve">R5=R6 → VSENSE = VIN/2 (tracks light, ~0 V dark). Feeds ADC + the AC0 wake-on-light comparator.</t>
  </si>
  <si>
    <t xml:space="preserve">C5</t>
  </si>
  <si>
    <t xml:space="preserve">VSENSE filter cap</t>
  </si>
  <si>
    <t xml:space="preserve">10 nF, X7R, 50 V</t>
  </si>
  <si>
    <t xml:space="preserve">Samsung</t>
  </si>
  <si>
    <t xml:space="preserve">CL21B103KBANNNC</t>
  </si>
  <si>
    <t xml:space="preserve">RC filter on the VSENSE node.</t>
  </si>
  <si>
    <t xml:space="preserve">(Samsung CL21 family)</t>
  </si>
  <si>
    <t xml:space="preserve">U3</t>
  </si>
  <si>
    <t xml:space="preserve">3-axis accelerometer — tap/double-tap wake; INT1/INT2 → PF1/PF0</t>
  </si>
  <si>
    <t xml:space="preserve">I²C 0x18, ±2–16 g</t>
  </si>
  <si>
    <t xml:space="preserve">LGA-12 (2×2×1.0 mm)</t>
  </si>
  <si>
    <t xml:space="preserve">STMicroelectronics</t>
  </si>
  <si>
    <t xml:space="preserve">LIS2DH12TR</t>
  </si>
  <si>
    <t xml:space="preserve">CS→VS (I²C mode), SDO/SA0→GND (addr 0x18). SCL=PC3, SDA=PC2.</t>
  </si>
  <si>
    <t xml:space="preserve">en.DM00091513.pdf</t>
  </si>
  <si>
    <t xml:space="preserve">R10, R11</t>
  </si>
  <si>
    <t xml:space="preserve">I²C pull-ups (TWI0 host on PC2/PC3) → VS</t>
  </si>
  <si>
    <t xml:space="preserve">4.7 kΩ, ±1%</t>
  </si>
  <si>
    <t xml:space="preserve">RC0805FR-074K7L</t>
  </si>
  <si>
    <t xml:space="preserve">Required — open-drain TWI bus. Firmware must set TWIROUTEA = ALT2.</t>
  </si>
  <si>
    <t xml:space="preserve">U4</t>
  </si>
  <si>
    <t xml:space="preserve">Rail-clamp reference — TLV431B (±0.5%); sets the VS trip</t>
  </si>
  <si>
    <t xml:space="preserve">Vref 1.24 V, ±0.5%</t>
  </si>
  <si>
    <t xml:space="preserve">SOT-23 (DBZ)</t>
  </si>
  <si>
    <t xml:space="preserve">Texas Instruments</t>
  </si>
  <si>
    <t xml:space="preserve">TLV431BCDBZR</t>
  </si>
  <si>
    <t xml:space="preserve">B grade (tighter) for a predictable clamp. tlv431a-3.pdf is TI's combined A/B datasheet.</t>
  </si>
  <si>
    <t xml:space="preserve">tlv431a-3.pdf</t>
  </si>
  <si>
    <t xml:space="preserve">Q1</t>
  </si>
  <si>
    <t xml:space="preserve">Rail-clamp pass PNP — shunts VS→GND when U4 trips</t>
  </si>
  <si>
    <t xml:space="preserve">PNP (BCP53 family)</t>
  </si>
  <si>
    <t xml:space="preserve">SOT / WDFN</t>
  </si>
  <si>
    <t xml:space="preserve">BCP5316MTWG</t>
  </si>
  <si>
    <t xml:space="preserve">Emitter=VS, collector=GND, base=CLBASE.</t>
  </si>
  <si>
    <t xml:space="preserve">BCP53M-D.PDF</t>
  </si>
  <si>
    <t xml:space="preserve">R7</t>
  </si>
  <si>
    <t xml:space="preserve">Clamp divider top — sets VS trip with R8</t>
  </si>
  <si>
    <t xml:space="preserve">1.8 MΩ, ±1%</t>
  </si>
  <si>
    <t xml:space="preserve">RC0805FR-071M8L</t>
  </si>
  <si>
    <t xml:space="preserve">Trip = 1.24×(1+R7/R8) = 3.47 V.</t>
  </si>
  <si>
    <t xml:space="preserve">R8</t>
  </si>
  <si>
    <t xml:space="preserve">Clamp divider bottom</t>
  </si>
  <si>
    <t xml:space="preserve">Divider midpoint (CLREF) → TLV431 ref.</t>
  </si>
  <si>
    <t xml:space="preserve">R9</t>
  </si>
  <si>
    <t xml:space="preserve">Clamp base pull-up / cathode path</t>
  </si>
  <si>
    <t xml:space="preserve">1 kΩ, ±1%</t>
  </si>
  <si>
    <t xml:space="preserve">RC0805FR-071KL</t>
  </si>
  <si>
    <t xml:space="preserve">VS→CLBASE; holds Q1 off until U4 conducts.</t>
  </si>
  <si>
    <t xml:space="preserve">C1</t>
  </si>
  <si>
    <t xml:space="preserve">MCU decoupling (VDD)</t>
  </si>
  <si>
    <t xml:space="preserve">100 nF, X7R, 25 V</t>
  </si>
  <si>
    <t xml:space="preserve">CL21B104KBCWPNC</t>
  </si>
  <si>
    <t xml:space="preserve">1276-6557-1-ND</t>
  </si>
  <si>
    <t xml:space="preserve">C2, C3</t>
  </si>
  <si>
    <t xml:space="preserve">Decoupling — VDDIO2 / MCU</t>
  </si>
  <si>
    <t xml:space="preserve">C4</t>
  </si>
  <si>
    <t xml:space="preserve">VS-rail bulk decoupling</t>
  </si>
  <si>
    <t xml:space="preserve">1 µF, X7S, 10 V</t>
  </si>
  <si>
    <t xml:space="preserve">CL21A105KBCLNNC</t>
  </si>
  <si>
    <t xml:space="preserve">CL21A105KBCLNNC Spec.pdf</t>
  </si>
  <si>
    <t xml:space="preserve">C6</t>
  </si>
  <si>
    <t xml:space="preserve">Accelerometer decoupling</t>
  </si>
  <si>
    <t xml:space="preserve">C7</t>
  </si>
  <si>
    <t xml:space="preserve">Clamp local decoupling</t>
  </si>
  <si>
    <t xml:space="preserve">SJ1</t>
  </si>
  <si>
    <t xml:space="preserve">VDDIO2 tie — bonds VDDIO2 to VS (MVIO unused)</t>
  </si>
  <si>
    <t xml:space="preserve">0 Ω jumper</t>
  </si>
  <si>
    <t xml:space="preserve">RC0805JR-070RL</t>
  </si>
  <si>
    <t xml:space="preserve">SW2</t>
  </si>
  <si>
    <t xml:space="preserve">LED master switch — OFF / ON / TINY (solder-bridge)</t>
  </si>
  <si>
    <t xml:space="preserve">3-pad bridge</t>
  </si>
  <si>
    <t xml:space="preserve">solder-bridge</t>
  </si>
  <si>
    <t xml:space="preserve">(none — PCB bridge)</t>
  </si>
  <si>
    <t xml:space="preserve">ANODE common; bridge to VS (ON) or via R12 (TINY); open = OFF (hardware off).</t>
  </si>
  <si>
    <t xml:space="preserve">SB1–SB4</t>
  </si>
  <si>
    <t xml:space="preserve">Per-LED disable jumpers (force a channel off)</t>
  </si>
  <si>
    <t xml:space="preserve">Open to disable that LED's channel.</t>
  </si>
  <si>
    <t xml:space="preserve">TC1</t>
  </si>
  <si>
    <t xml:space="preserve">Tag-Connect TC2030 programming footprint (UPDI)</t>
  </si>
  <si>
    <t xml:space="preserve">TC2030-MCP-FP</t>
  </si>
  <si>
    <t xml:space="preserve">TC2030 legged land</t>
  </si>
  <si>
    <t xml:space="preserve">(no part — pogo interface)</t>
  </si>
  <si>
    <t xml:space="preserve">Hands-free UPDI; pairs with a TC2030-MCP cable.</t>
  </si>
  <si>
    <t xml:space="preserve">TC2030-MCP.pdf</t>
  </si>
  <si>
    <t xml:space="preserve">J1</t>
  </si>
  <si>
    <t xml:space="preserve">UPDI header (backup to TC1)</t>
  </si>
  <si>
    <t xml:space="preserve">1×3, 0.1″</t>
  </si>
  <si>
    <t xml:space="preserve">0.1″ THT pads</t>
  </si>
  <si>
    <t xml:space="preserve">(unpopulated / 0.1″ header)</t>
  </si>
  <si>
    <t xml:space="preserve">OPTIONAL</t>
  </si>
  <si>
    <t xml:space="preserve">Populate a 3-pin header if not using the Tag-Connect.</t>
  </si>
  <si>
    <t xml:space="preserve">JP1</t>
  </si>
  <si>
    <t xml:space="preserve">I²C breakout header (SDA/SCL/GND)</t>
  </si>
  <si>
    <t xml:space="preserve">JP2</t>
  </si>
  <si>
    <t xml:space="preserve">Spare-GPIO breakout header (PA4/PC0/PC1/GND)</t>
  </si>
  <si>
    <t xml:space="preserve">1×4, 0.1″</t>
  </si>
  <si>
    <t xml:space="preserve">MH1–MH4</t>
  </si>
  <si>
    <t xml:space="preserve">M2 mounting holes (grounded), board corners</t>
  </si>
  <si>
    <t xml:space="preserve">M2</t>
  </si>
  <si>
    <t xml:space="preserve">2.2 mm plated</t>
  </si>
  <si>
    <t xml:space="preserve">(no part — drill)</t>
  </si>
  <si>
    <t xml:space="preserve">Ties a metal back-plate to GND if enclosed; user-supplied M2 hardware.</t>
  </si>
  <si>
    <t xml:space="preserve">Parts subtotal (per board, indicative)</t>
  </si>
  <si>
    <t xml:space="preserve">*≈$/ea is indicative (qty 1–10, USD, ~2026) for a board-cost sanity check only — confirm live pricing at order. Supercaps + solar cells dominate. Mounting holes, headers (J1/JP1/JP2), TC1, SW2 and the SBn bridges carry no ordered part. The old solar-glow-drh-BOM.xlsx is kept as the v0-prototype record.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</si>
</sst>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;\–"/>
    <numFmt numFmtId="166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32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58"/>
    <col collapsed="false" customWidth="true" hidden="false" outlineLevel="0" max="12" min="12" style="0" width="34"/>
    <col collapsed="false" customWidth="true" hidden="false" outlineLevel="0" max="13" min="13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3" t="n">
        <v>1</v>
      </c>
      <c r="C2" s="4" t="s">
        <v>14</v>
      </c>
      <c r="D2" s="2" t="s">
        <v>15</v>
      </c>
      <c r="E2" s="4" t="s">
        <v>16</v>
      </c>
      <c r="F2" s="2" t="s">
        <v>17</v>
      </c>
      <c r="G2" s="2" t="s">
        <v>18</v>
      </c>
      <c r="H2" s="5" t="n">
        <v>1.52</v>
      </c>
      <c r="I2" s="5" t="n">
        <f aca="false">B2*H2</f>
        <v>1.52</v>
      </c>
      <c r="J2" s="2" t="s">
        <v>19</v>
      </c>
      <c r="K2" s="4" t="s">
        <v>20</v>
      </c>
      <c r="L2" s="2" t="s">
        <v>21</v>
      </c>
      <c r="M2" s="2" t="s">
        <v>22</v>
      </c>
    </row>
    <row r="3" customFormat="false" ht="23.85" hidden="false" customHeight="false" outlineLevel="0" collapsed="false">
      <c r="A3" s="2" t="s">
        <v>23</v>
      </c>
      <c r="B3" s="3" t="n">
        <v>2</v>
      </c>
      <c r="C3" s="4" t="s">
        <v>24</v>
      </c>
      <c r="D3" s="2" t="s">
        <v>25</v>
      </c>
      <c r="E3" s="4" t="s">
        <v>26</v>
      </c>
      <c r="F3" s="2" t="s">
        <v>27</v>
      </c>
      <c r="G3" s="2" t="s">
        <v>28</v>
      </c>
      <c r="H3" s="5" t="n">
        <v>6.98</v>
      </c>
      <c r="I3" s="5" t="n">
        <f aca="false">B3*H3</f>
        <v>13.96</v>
      </c>
      <c r="J3" s="2" t="s">
        <v>19</v>
      </c>
      <c r="K3" s="4" t="s">
        <v>29</v>
      </c>
      <c r="L3" s="2" t="s">
        <v>30</v>
      </c>
      <c r="M3" s="2" t="s">
        <v>22</v>
      </c>
    </row>
    <row r="4" customFormat="false" ht="23.85" hidden="false" customHeight="false" outlineLevel="0" collapsed="false">
      <c r="A4" s="2" t="s">
        <v>31</v>
      </c>
      <c r="B4" s="3" t="n">
        <v>2</v>
      </c>
      <c r="C4" s="4" t="s">
        <v>32</v>
      </c>
      <c r="D4" s="2" t="s">
        <v>33</v>
      </c>
      <c r="E4" s="4" t="s">
        <v>34</v>
      </c>
      <c r="F4" s="2" t="s">
        <v>35</v>
      </c>
      <c r="G4" s="2" t="s">
        <v>36</v>
      </c>
      <c r="H4" s="5" t="n">
        <v>0.125</v>
      </c>
      <c r="I4" s="5" t="n">
        <f aca="false">B4*H4</f>
        <v>0.25</v>
      </c>
      <c r="J4" s="2" t="s">
        <v>19</v>
      </c>
      <c r="K4" s="4" t="s">
        <v>37</v>
      </c>
      <c r="L4" s="2" t="s">
        <v>38</v>
      </c>
      <c r="M4" s="2" t="s">
        <v>39</v>
      </c>
    </row>
    <row r="5" customFormat="false" ht="23.85" hidden="false" customHeight="false" outlineLevel="0" collapsed="false">
      <c r="A5" s="2" t="s">
        <v>40</v>
      </c>
      <c r="B5" s="3" t="n">
        <v>4</v>
      </c>
      <c r="C5" s="4" t="s">
        <v>41</v>
      </c>
      <c r="D5" s="2" t="s">
        <v>42</v>
      </c>
      <c r="E5" s="4" t="s">
        <v>43</v>
      </c>
      <c r="F5" s="2" t="s">
        <v>44</v>
      </c>
      <c r="G5" s="2" t="s">
        <v>45</v>
      </c>
      <c r="H5" s="5" t="n">
        <v>15.48</v>
      </c>
      <c r="I5" s="5" t="n">
        <f aca="false">B5*H5</f>
        <v>61.92</v>
      </c>
      <c r="J5" s="2" t="s">
        <v>19</v>
      </c>
      <c r="K5" s="4" t="s">
        <v>46</v>
      </c>
      <c r="L5" s="2" t="s">
        <v>47</v>
      </c>
      <c r="M5" s="2" t="s">
        <v>22</v>
      </c>
    </row>
    <row r="6" customFormat="false" ht="35.05" hidden="false" customHeight="false" outlineLevel="0" collapsed="false">
      <c r="A6" s="2" t="s">
        <v>48</v>
      </c>
      <c r="B6" s="3" t="n">
        <v>1</v>
      </c>
      <c r="C6" s="4" t="s">
        <v>49</v>
      </c>
      <c r="D6" s="2" t="s">
        <v>50</v>
      </c>
      <c r="E6" s="4" t="s">
        <v>51</v>
      </c>
      <c r="F6" s="2" t="s">
        <v>52</v>
      </c>
      <c r="G6" s="2" t="s">
        <v>53</v>
      </c>
      <c r="H6" s="5" t="n">
        <v>7.68</v>
      </c>
      <c r="I6" s="5" t="n">
        <f aca="false">B6*H6</f>
        <v>7.68</v>
      </c>
      <c r="J6" s="2" t="s">
        <v>19</v>
      </c>
      <c r="K6" s="4" t="s">
        <v>54</v>
      </c>
      <c r="L6" s="2" t="s">
        <v>55</v>
      </c>
      <c r="M6" s="2" t="s">
        <v>56</v>
      </c>
    </row>
    <row r="7" customFormat="false" ht="23.85" hidden="false" customHeight="false" outlineLevel="0" collapsed="false">
      <c r="A7" s="2" t="s">
        <v>57</v>
      </c>
      <c r="B7" s="3" t="n">
        <v>4</v>
      </c>
      <c r="C7" s="4" t="s">
        <v>58</v>
      </c>
      <c r="D7" s="2" t="s">
        <v>59</v>
      </c>
      <c r="E7" s="4" t="s">
        <v>60</v>
      </c>
      <c r="F7" s="2" t="s">
        <v>61</v>
      </c>
      <c r="G7" s="2" t="s">
        <v>62</v>
      </c>
      <c r="H7" s="5" t="n">
        <v>0.273</v>
      </c>
      <c r="I7" s="5" t="n">
        <f aca="false">B7*H7</f>
        <v>1.092</v>
      </c>
      <c r="J7" s="2" t="s">
        <v>19</v>
      </c>
      <c r="K7" s="4" t="s">
        <v>63</v>
      </c>
      <c r="L7" s="2" t="s">
        <v>64</v>
      </c>
      <c r="M7" s="2" t="s">
        <v>65</v>
      </c>
    </row>
    <row r="8" customFormat="false" ht="23.85" hidden="false" customHeight="false" outlineLevel="0" collapsed="false">
      <c r="A8" s="2" t="s">
        <v>66</v>
      </c>
      <c r="B8" s="3" t="n">
        <v>4</v>
      </c>
      <c r="C8" s="4" t="s">
        <v>67</v>
      </c>
      <c r="D8" s="2" t="s">
        <v>68</v>
      </c>
      <c r="E8" s="4" t="s">
        <v>69</v>
      </c>
      <c r="F8" s="2" t="s">
        <v>70</v>
      </c>
      <c r="G8" s="2" t="s">
        <v>71</v>
      </c>
      <c r="H8" s="5" t="n">
        <v>0.366</v>
      </c>
      <c r="I8" s="5" t="n">
        <f aca="false">B8*H8</f>
        <v>1.464</v>
      </c>
      <c r="J8" s="2" t="s">
        <v>72</v>
      </c>
      <c r="K8" s="4" t="s">
        <v>73</v>
      </c>
      <c r="L8" s="2" t="s">
        <v>74</v>
      </c>
      <c r="M8" s="2" t="s">
        <v>22</v>
      </c>
    </row>
    <row r="9" customFormat="false" ht="23.85" hidden="false" customHeight="false" outlineLevel="0" collapsed="false">
      <c r="A9" s="2" t="s">
        <v>75</v>
      </c>
      <c r="B9" s="3" t="n">
        <v>1</v>
      </c>
      <c r="C9" s="4" t="s">
        <v>76</v>
      </c>
      <c r="D9" s="2" t="s">
        <v>77</v>
      </c>
      <c r="E9" s="4" t="s">
        <v>78</v>
      </c>
      <c r="F9" s="2" t="s">
        <v>79</v>
      </c>
      <c r="G9" s="2" t="s">
        <v>80</v>
      </c>
      <c r="H9" s="5" t="n">
        <v>0.1</v>
      </c>
      <c r="I9" s="5" t="n">
        <f aca="false">B9*H9</f>
        <v>0.1</v>
      </c>
      <c r="J9" s="2" t="s">
        <v>19</v>
      </c>
      <c r="K9" s="4" t="s">
        <v>81</v>
      </c>
      <c r="L9" s="2" t="s">
        <v>82</v>
      </c>
      <c r="M9" s="2" t="s">
        <v>22</v>
      </c>
    </row>
    <row r="10" customFormat="false" ht="23.85" hidden="false" customHeight="false" outlineLevel="0" collapsed="false">
      <c r="A10" s="2" t="s">
        <v>83</v>
      </c>
      <c r="B10" s="3" t="n">
        <v>2</v>
      </c>
      <c r="C10" s="4" t="s">
        <v>84</v>
      </c>
      <c r="D10" s="2" t="s">
        <v>85</v>
      </c>
      <c r="E10" s="4" t="s">
        <v>78</v>
      </c>
      <c r="F10" s="2" t="s">
        <v>79</v>
      </c>
      <c r="G10" s="2" t="s">
        <v>86</v>
      </c>
      <c r="H10" s="5" t="n">
        <v>0.1</v>
      </c>
      <c r="I10" s="5" t="n">
        <f aca="false">B10*H10</f>
        <v>0.2</v>
      </c>
      <c r="J10" s="2" t="s">
        <v>19</v>
      </c>
      <c r="K10" s="4" t="s">
        <v>87</v>
      </c>
      <c r="L10" s="2" t="s">
        <v>82</v>
      </c>
      <c r="M10" s="2" t="s">
        <v>22</v>
      </c>
    </row>
    <row r="11" customFormat="false" ht="15" hidden="false" customHeight="false" outlineLevel="0" collapsed="false">
      <c r="A11" s="2" t="s">
        <v>88</v>
      </c>
      <c r="B11" s="3" t="n">
        <v>1</v>
      </c>
      <c r="C11" s="4" t="s">
        <v>89</v>
      </c>
      <c r="D11" s="2" t="s">
        <v>90</v>
      </c>
      <c r="E11" s="4" t="s">
        <v>78</v>
      </c>
      <c r="F11" s="2" t="s">
        <v>91</v>
      </c>
      <c r="G11" s="2" t="s">
        <v>92</v>
      </c>
      <c r="H11" s="5" t="n">
        <v>0.05</v>
      </c>
      <c r="I11" s="5" t="n">
        <f aca="false">B11*H11</f>
        <v>0.05</v>
      </c>
      <c r="J11" s="2" t="s">
        <v>19</v>
      </c>
      <c r="K11" s="4" t="s">
        <v>93</v>
      </c>
      <c r="L11" s="2" t="s">
        <v>94</v>
      </c>
      <c r="M11" s="2" t="s">
        <v>22</v>
      </c>
    </row>
    <row r="12" customFormat="false" ht="23.85" hidden="false" customHeight="false" outlineLevel="0" collapsed="false">
      <c r="A12" s="2" t="s">
        <v>95</v>
      </c>
      <c r="B12" s="3" t="n">
        <v>1</v>
      </c>
      <c r="C12" s="4" t="s">
        <v>96</v>
      </c>
      <c r="D12" s="2" t="s">
        <v>97</v>
      </c>
      <c r="E12" s="4" t="s">
        <v>98</v>
      </c>
      <c r="F12" s="2" t="s">
        <v>99</v>
      </c>
      <c r="G12" s="2" t="s">
        <v>100</v>
      </c>
      <c r="H12" s="5" t="n">
        <v>2.5</v>
      </c>
      <c r="I12" s="5" t="n">
        <f aca="false">B12*H12</f>
        <v>2.5</v>
      </c>
      <c r="J12" s="2" t="s">
        <v>19</v>
      </c>
      <c r="K12" s="4" t="s">
        <v>101</v>
      </c>
      <c r="L12" s="2" t="s">
        <v>102</v>
      </c>
      <c r="M12" s="2" t="s">
        <v>22</v>
      </c>
    </row>
    <row r="13" customFormat="false" ht="23.85" hidden="false" customHeight="false" outlineLevel="0" collapsed="false">
      <c r="A13" s="2" t="s">
        <v>103</v>
      </c>
      <c r="B13" s="3" t="n">
        <v>2</v>
      </c>
      <c r="C13" s="4" t="s">
        <v>104</v>
      </c>
      <c r="D13" s="2" t="s">
        <v>105</v>
      </c>
      <c r="E13" s="4" t="s">
        <v>78</v>
      </c>
      <c r="F13" s="2" t="s">
        <v>79</v>
      </c>
      <c r="G13" s="2" t="s">
        <v>106</v>
      </c>
      <c r="H13" s="5" t="n">
        <v>0.1</v>
      </c>
      <c r="I13" s="5" t="n">
        <f aca="false">B13*H13</f>
        <v>0.2</v>
      </c>
      <c r="J13" s="2" t="s">
        <v>19</v>
      </c>
      <c r="K13" s="4" t="s">
        <v>107</v>
      </c>
      <c r="L13" s="2" t="s">
        <v>82</v>
      </c>
      <c r="M13" s="2" t="s">
        <v>22</v>
      </c>
    </row>
    <row r="14" customFormat="false" ht="23.85" hidden="false" customHeight="false" outlineLevel="0" collapsed="false">
      <c r="A14" s="2" t="s">
        <v>108</v>
      </c>
      <c r="B14" s="3" t="n">
        <v>1</v>
      </c>
      <c r="C14" s="4" t="s">
        <v>109</v>
      </c>
      <c r="D14" s="2" t="s">
        <v>110</v>
      </c>
      <c r="E14" s="4" t="s">
        <v>111</v>
      </c>
      <c r="F14" s="2" t="s">
        <v>112</v>
      </c>
      <c r="G14" s="2" t="s">
        <v>113</v>
      </c>
      <c r="H14" s="5" t="n">
        <v>0.4</v>
      </c>
      <c r="I14" s="5" t="n">
        <f aca="false">B14*H14</f>
        <v>0.4</v>
      </c>
      <c r="J14" s="2" t="s">
        <v>19</v>
      </c>
      <c r="K14" s="4" t="s">
        <v>114</v>
      </c>
      <c r="L14" s="2" t="s">
        <v>115</v>
      </c>
      <c r="M14" s="2" t="s">
        <v>22</v>
      </c>
    </row>
    <row r="15" customFormat="false" ht="23.85" hidden="false" customHeight="false" outlineLevel="0" collapsed="false">
      <c r="A15" s="2" t="s">
        <v>116</v>
      </c>
      <c r="B15" s="3" t="n">
        <v>1</v>
      </c>
      <c r="C15" s="4" t="s">
        <v>117</v>
      </c>
      <c r="D15" s="2" t="s">
        <v>118</v>
      </c>
      <c r="E15" s="4" t="s">
        <v>119</v>
      </c>
      <c r="F15" s="2" t="s">
        <v>35</v>
      </c>
      <c r="G15" s="2" t="s">
        <v>120</v>
      </c>
      <c r="H15" s="5" t="n">
        <v>0.45</v>
      </c>
      <c r="I15" s="5" t="n">
        <f aca="false">B15*H15</f>
        <v>0.45</v>
      </c>
      <c r="J15" s="2" t="s">
        <v>19</v>
      </c>
      <c r="K15" s="4" t="s">
        <v>121</v>
      </c>
      <c r="L15" s="2" t="s">
        <v>122</v>
      </c>
      <c r="M15" s="2" t="s">
        <v>22</v>
      </c>
    </row>
    <row r="16" customFormat="false" ht="15" hidden="false" customHeight="false" outlineLevel="0" collapsed="false">
      <c r="A16" s="2" t="s">
        <v>123</v>
      </c>
      <c r="B16" s="3" t="n">
        <v>1</v>
      </c>
      <c r="C16" s="4" t="s">
        <v>124</v>
      </c>
      <c r="D16" s="2" t="s">
        <v>125</v>
      </c>
      <c r="E16" s="4" t="s">
        <v>78</v>
      </c>
      <c r="F16" s="2" t="s">
        <v>79</v>
      </c>
      <c r="G16" s="2" t="s">
        <v>126</v>
      </c>
      <c r="H16" s="5" t="n">
        <v>0.1</v>
      </c>
      <c r="I16" s="5" t="n">
        <f aca="false">B16*H16</f>
        <v>0.1</v>
      </c>
      <c r="J16" s="2" t="s">
        <v>19</v>
      </c>
      <c r="K16" s="4" t="s">
        <v>127</v>
      </c>
      <c r="L16" s="2" t="s">
        <v>82</v>
      </c>
      <c r="M16" s="2" t="s">
        <v>22</v>
      </c>
    </row>
    <row r="17" customFormat="false" ht="15" hidden="false" customHeight="false" outlineLevel="0" collapsed="false">
      <c r="A17" s="2" t="s">
        <v>128</v>
      </c>
      <c r="B17" s="3" t="n">
        <v>1</v>
      </c>
      <c r="C17" s="4" t="s">
        <v>129</v>
      </c>
      <c r="D17" s="2" t="s">
        <v>85</v>
      </c>
      <c r="E17" s="4" t="s">
        <v>78</v>
      </c>
      <c r="F17" s="2" t="s">
        <v>79</v>
      </c>
      <c r="G17" s="2" t="s">
        <v>86</v>
      </c>
      <c r="H17" s="5" t="n">
        <v>0.1</v>
      </c>
      <c r="I17" s="5" t="n">
        <f aca="false">B17*H17</f>
        <v>0.1</v>
      </c>
      <c r="J17" s="2" t="s">
        <v>19</v>
      </c>
      <c r="K17" s="4" t="s">
        <v>130</v>
      </c>
      <c r="L17" s="2" t="s">
        <v>82</v>
      </c>
      <c r="M17" s="2" t="s">
        <v>22</v>
      </c>
    </row>
    <row r="18" customFormat="false" ht="15" hidden="false" customHeight="false" outlineLevel="0" collapsed="false">
      <c r="A18" s="2" t="s">
        <v>131</v>
      </c>
      <c r="B18" s="3" t="n">
        <v>1</v>
      </c>
      <c r="C18" s="4" t="s">
        <v>132</v>
      </c>
      <c r="D18" s="2" t="s">
        <v>133</v>
      </c>
      <c r="E18" s="4" t="s">
        <v>78</v>
      </c>
      <c r="F18" s="2" t="s">
        <v>79</v>
      </c>
      <c r="G18" s="2" t="s">
        <v>134</v>
      </c>
      <c r="H18" s="5" t="n">
        <v>0.1</v>
      </c>
      <c r="I18" s="5" t="n">
        <f aca="false">B18*H18</f>
        <v>0.1</v>
      </c>
      <c r="J18" s="2" t="s">
        <v>19</v>
      </c>
      <c r="K18" s="4" t="s">
        <v>135</v>
      </c>
      <c r="L18" s="2" t="s">
        <v>82</v>
      </c>
      <c r="M18" s="2" t="s">
        <v>22</v>
      </c>
    </row>
    <row r="19" customFormat="false" ht="15" hidden="false" customHeight="false" outlineLevel="0" collapsed="false">
      <c r="A19" s="2" t="s">
        <v>136</v>
      </c>
      <c r="B19" s="3" t="n">
        <v>1</v>
      </c>
      <c r="C19" s="4" t="s">
        <v>137</v>
      </c>
      <c r="D19" s="2" t="s">
        <v>138</v>
      </c>
      <c r="E19" s="4" t="s">
        <v>78</v>
      </c>
      <c r="F19" s="2" t="s">
        <v>91</v>
      </c>
      <c r="G19" s="2" t="s">
        <v>139</v>
      </c>
      <c r="H19" s="5" t="n">
        <v>0.09</v>
      </c>
      <c r="I19" s="5" t="n">
        <f aca="false">B19*H19</f>
        <v>0.09</v>
      </c>
      <c r="J19" s="2" t="s">
        <v>19</v>
      </c>
      <c r="K19" s="4"/>
      <c r="L19" s="2" t="s">
        <v>94</v>
      </c>
      <c r="M19" s="2" t="s">
        <v>140</v>
      </c>
    </row>
    <row r="20" customFormat="false" ht="15" hidden="false" customHeight="false" outlineLevel="0" collapsed="false">
      <c r="A20" s="2" t="s">
        <v>141</v>
      </c>
      <c r="B20" s="3" t="n">
        <v>2</v>
      </c>
      <c r="C20" s="4" t="s">
        <v>142</v>
      </c>
      <c r="D20" s="2" t="s">
        <v>138</v>
      </c>
      <c r="E20" s="4" t="s">
        <v>78</v>
      </c>
      <c r="F20" s="2" t="s">
        <v>91</v>
      </c>
      <c r="G20" s="2" t="s">
        <v>139</v>
      </c>
      <c r="H20" s="5" t="n">
        <v>0.09</v>
      </c>
      <c r="I20" s="5" t="n">
        <f aca="false">B20*H20</f>
        <v>0.18</v>
      </c>
      <c r="J20" s="2" t="s">
        <v>19</v>
      </c>
      <c r="K20" s="4"/>
      <c r="L20" s="2" t="s">
        <v>94</v>
      </c>
      <c r="M20" s="2" t="s">
        <v>140</v>
      </c>
    </row>
    <row r="21" customFormat="false" ht="15" hidden="false" customHeight="false" outlineLevel="0" collapsed="false">
      <c r="A21" s="2" t="s">
        <v>143</v>
      </c>
      <c r="B21" s="3" t="n">
        <v>1</v>
      </c>
      <c r="C21" s="4" t="s">
        <v>144</v>
      </c>
      <c r="D21" s="2" t="s">
        <v>145</v>
      </c>
      <c r="E21" s="4" t="s">
        <v>78</v>
      </c>
      <c r="F21" s="2" t="s">
        <v>91</v>
      </c>
      <c r="G21" s="2" t="s">
        <v>146</v>
      </c>
      <c r="H21" s="5" t="n">
        <v>0.04</v>
      </c>
      <c r="I21" s="5" t="n">
        <f aca="false">B21*H21</f>
        <v>0.04</v>
      </c>
      <c r="J21" s="2" t="s">
        <v>19</v>
      </c>
      <c r="K21" s="4"/>
      <c r="L21" s="2" t="s">
        <v>147</v>
      </c>
      <c r="M21" s="2" t="s">
        <v>22</v>
      </c>
    </row>
    <row r="22" customFormat="false" ht="15" hidden="false" customHeight="false" outlineLevel="0" collapsed="false">
      <c r="A22" s="2" t="s">
        <v>148</v>
      </c>
      <c r="B22" s="3" t="n">
        <v>1</v>
      </c>
      <c r="C22" s="4" t="s">
        <v>149</v>
      </c>
      <c r="D22" s="2" t="s">
        <v>138</v>
      </c>
      <c r="E22" s="4" t="s">
        <v>78</v>
      </c>
      <c r="F22" s="2" t="s">
        <v>91</v>
      </c>
      <c r="G22" s="2" t="s">
        <v>139</v>
      </c>
      <c r="H22" s="5" t="n">
        <v>0.09</v>
      </c>
      <c r="I22" s="5" t="n">
        <f aca="false">B22*H22</f>
        <v>0.09</v>
      </c>
      <c r="J22" s="2" t="s">
        <v>19</v>
      </c>
      <c r="K22" s="4"/>
      <c r="L22" s="2" t="s">
        <v>94</v>
      </c>
      <c r="M22" s="2" t="s">
        <v>140</v>
      </c>
    </row>
    <row r="23" customFormat="false" ht="15" hidden="false" customHeight="false" outlineLevel="0" collapsed="false">
      <c r="A23" s="2" t="s">
        <v>150</v>
      </c>
      <c r="B23" s="3" t="n">
        <v>1</v>
      </c>
      <c r="C23" s="4" t="s">
        <v>151</v>
      </c>
      <c r="D23" s="2" t="s">
        <v>138</v>
      </c>
      <c r="E23" s="4" t="s">
        <v>78</v>
      </c>
      <c r="F23" s="2" t="s">
        <v>91</v>
      </c>
      <c r="G23" s="2" t="s">
        <v>139</v>
      </c>
      <c r="H23" s="5" t="n">
        <v>0.09</v>
      </c>
      <c r="I23" s="5" t="n">
        <f aca="false">B23*H23</f>
        <v>0.09</v>
      </c>
      <c r="J23" s="2" t="s">
        <v>19</v>
      </c>
      <c r="K23" s="4"/>
      <c r="L23" s="2" t="s">
        <v>94</v>
      </c>
      <c r="M23" s="2" t="s">
        <v>140</v>
      </c>
    </row>
    <row r="24" customFormat="false" ht="23.85" hidden="false" customHeight="false" outlineLevel="0" collapsed="false">
      <c r="A24" s="2" t="s">
        <v>152</v>
      </c>
      <c r="B24" s="3" t="n">
        <v>1</v>
      </c>
      <c r="C24" s="4" t="s">
        <v>153</v>
      </c>
      <c r="D24" s="2" t="s">
        <v>154</v>
      </c>
      <c r="E24" s="4" t="s">
        <v>78</v>
      </c>
      <c r="F24" s="2" t="s">
        <v>79</v>
      </c>
      <c r="G24" s="2" t="s">
        <v>155</v>
      </c>
      <c r="H24" s="5" t="n">
        <v>0.05</v>
      </c>
      <c r="I24" s="5" t="n">
        <f aca="false">B24*H24</f>
        <v>0.05</v>
      </c>
      <c r="J24" s="2" t="s">
        <v>19</v>
      </c>
      <c r="K24" s="4"/>
      <c r="L24" s="2" t="s">
        <v>82</v>
      </c>
      <c r="M24" s="2" t="s">
        <v>22</v>
      </c>
    </row>
    <row r="25" customFormat="false" ht="23.85" hidden="false" customHeight="false" outlineLevel="0" collapsed="false">
      <c r="A25" s="2" t="s">
        <v>156</v>
      </c>
      <c r="B25" s="3" t="n">
        <v>1</v>
      </c>
      <c r="C25" s="4" t="s">
        <v>157</v>
      </c>
      <c r="D25" s="2" t="s">
        <v>158</v>
      </c>
      <c r="E25" s="4" t="s">
        <v>159</v>
      </c>
      <c r="F25" s="2" t="s">
        <v>82</v>
      </c>
      <c r="G25" s="2" t="s">
        <v>160</v>
      </c>
      <c r="H25" s="5" t="n">
        <v>0</v>
      </c>
      <c r="I25" s="5" t="n">
        <f aca="false">B25*H25</f>
        <v>0</v>
      </c>
      <c r="J25" s="2" t="s">
        <v>19</v>
      </c>
      <c r="K25" s="4" t="s">
        <v>161</v>
      </c>
      <c r="L25" s="2" t="s">
        <v>82</v>
      </c>
      <c r="M25" s="2" t="s">
        <v>82</v>
      </c>
    </row>
    <row r="26" customFormat="false" ht="15" hidden="false" customHeight="false" outlineLevel="0" collapsed="false">
      <c r="A26" s="2" t="s">
        <v>162</v>
      </c>
      <c r="B26" s="3" t="n">
        <v>4</v>
      </c>
      <c r="C26" s="4" t="s">
        <v>163</v>
      </c>
      <c r="D26" s="2" t="s">
        <v>159</v>
      </c>
      <c r="E26" s="4" t="s">
        <v>159</v>
      </c>
      <c r="F26" s="2" t="s">
        <v>82</v>
      </c>
      <c r="G26" s="2" t="s">
        <v>160</v>
      </c>
      <c r="H26" s="5" t="n">
        <v>0</v>
      </c>
      <c r="I26" s="5" t="n">
        <f aca="false">B26*H26</f>
        <v>0</v>
      </c>
      <c r="J26" s="2" t="s">
        <v>19</v>
      </c>
      <c r="K26" s="4" t="s">
        <v>164</v>
      </c>
      <c r="L26" s="2" t="s">
        <v>82</v>
      </c>
      <c r="M26" s="2" t="s">
        <v>82</v>
      </c>
    </row>
    <row r="27" customFormat="false" ht="23.85" hidden="false" customHeight="false" outlineLevel="0" collapsed="false">
      <c r="A27" s="2" t="s">
        <v>165</v>
      </c>
      <c r="B27" s="3" t="n">
        <v>1</v>
      </c>
      <c r="C27" s="4" t="s">
        <v>166</v>
      </c>
      <c r="D27" s="2" t="s">
        <v>167</v>
      </c>
      <c r="E27" s="4" t="s">
        <v>168</v>
      </c>
      <c r="F27" s="2" t="s">
        <v>82</v>
      </c>
      <c r="G27" s="2" t="s">
        <v>169</v>
      </c>
      <c r="H27" s="5" t="n">
        <v>0</v>
      </c>
      <c r="I27" s="5" t="n">
        <f aca="false">B27*H27</f>
        <v>0</v>
      </c>
      <c r="J27" s="2" t="s">
        <v>19</v>
      </c>
      <c r="K27" s="4" t="s">
        <v>170</v>
      </c>
      <c r="L27" s="2" t="s">
        <v>171</v>
      </c>
      <c r="M27" s="2" t="s">
        <v>82</v>
      </c>
    </row>
    <row r="28" customFormat="false" ht="15" hidden="false" customHeight="false" outlineLevel="0" collapsed="false">
      <c r="A28" s="2" t="s">
        <v>172</v>
      </c>
      <c r="B28" s="3" t="n">
        <v>1</v>
      </c>
      <c r="C28" s="4" t="s">
        <v>173</v>
      </c>
      <c r="D28" s="2" t="s">
        <v>174</v>
      </c>
      <c r="E28" s="4" t="s">
        <v>175</v>
      </c>
      <c r="F28" s="2" t="s">
        <v>82</v>
      </c>
      <c r="G28" s="2" t="s">
        <v>176</v>
      </c>
      <c r="H28" s="5" t="n">
        <v>0</v>
      </c>
      <c r="I28" s="5" t="n">
        <f aca="false">B28*H28</f>
        <v>0</v>
      </c>
      <c r="J28" s="2" t="s">
        <v>177</v>
      </c>
      <c r="K28" s="4" t="s">
        <v>178</v>
      </c>
      <c r="L28" s="2" t="s">
        <v>82</v>
      </c>
      <c r="M28" s="2" t="s">
        <v>82</v>
      </c>
    </row>
    <row r="29" customFormat="false" ht="15" hidden="false" customHeight="false" outlineLevel="0" collapsed="false">
      <c r="A29" s="2" t="s">
        <v>179</v>
      </c>
      <c r="B29" s="3" t="n">
        <v>1</v>
      </c>
      <c r="C29" s="4" t="s">
        <v>180</v>
      </c>
      <c r="D29" s="2" t="s">
        <v>174</v>
      </c>
      <c r="E29" s="4" t="s">
        <v>175</v>
      </c>
      <c r="F29" s="2" t="s">
        <v>82</v>
      </c>
      <c r="G29" s="2" t="s">
        <v>176</v>
      </c>
      <c r="H29" s="5" t="n">
        <v>0</v>
      </c>
      <c r="I29" s="5" t="n">
        <f aca="false">B29*H29</f>
        <v>0</v>
      </c>
      <c r="J29" s="2" t="s">
        <v>177</v>
      </c>
      <c r="K29" s="4"/>
      <c r="L29" s="2" t="s">
        <v>82</v>
      </c>
      <c r="M29" s="2" t="s">
        <v>82</v>
      </c>
    </row>
    <row r="30" customFormat="false" ht="23.85" hidden="false" customHeight="false" outlineLevel="0" collapsed="false">
      <c r="A30" s="2" t="s">
        <v>181</v>
      </c>
      <c r="B30" s="3" t="n">
        <v>1</v>
      </c>
      <c r="C30" s="4" t="s">
        <v>182</v>
      </c>
      <c r="D30" s="2" t="s">
        <v>183</v>
      </c>
      <c r="E30" s="4" t="s">
        <v>175</v>
      </c>
      <c r="F30" s="2" t="s">
        <v>82</v>
      </c>
      <c r="G30" s="2" t="s">
        <v>176</v>
      </c>
      <c r="H30" s="5" t="n">
        <v>0</v>
      </c>
      <c r="I30" s="5" t="n">
        <f aca="false">B30*H30</f>
        <v>0</v>
      </c>
      <c r="J30" s="2" t="s">
        <v>177</v>
      </c>
      <c r="K30" s="4"/>
      <c r="L30" s="2" t="s">
        <v>82</v>
      </c>
      <c r="M30" s="2" t="s">
        <v>82</v>
      </c>
    </row>
    <row r="31" customFormat="false" ht="23.85" hidden="false" customHeight="false" outlineLevel="0" collapsed="false">
      <c r="A31" s="2" t="s">
        <v>184</v>
      </c>
      <c r="B31" s="3" t="n">
        <v>4</v>
      </c>
      <c r="C31" s="4" t="s">
        <v>185</v>
      </c>
      <c r="D31" s="2" t="s">
        <v>186</v>
      </c>
      <c r="E31" s="4" t="s">
        <v>187</v>
      </c>
      <c r="F31" s="2" t="s">
        <v>82</v>
      </c>
      <c r="G31" s="2" t="s">
        <v>188</v>
      </c>
      <c r="H31" s="5" t="n">
        <v>0</v>
      </c>
      <c r="I31" s="5" t="n">
        <f aca="false">B31*H31</f>
        <v>0</v>
      </c>
      <c r="J31" s="2" t="s">
        <v>19</v>
      </c>
      <c r="K31" s="4" t="s">
        <v>189</v>
      </c>
      <c r="L31" s="2" t="s">
        <v>82</v>
      </c>
      <c r="M31" s="2" t="s">
        <v>82</v>
      </c>
    </row>
    <row r="32" customFormat="false" ht="15" hidden="false" customHeight="false" outlineLevel="0" collapsed="false">
      <c r="G32" s="6" t="s">
        <v>190</v>
      </c>
      <c r="I32" s="7" t="n">
        <f aca="false">SUM(I2:I31)</f>
        <v>92.626</v>
      </c>
    </row>
    <row r="34" customFormat="false" ht="15" hidden="false" customHeight="true" outlineLevel="0" collapsed="false">
      <c r="A34" s="8" t="s">
        <v>191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</sheetData>
  <mergeCells count="1">
    <mergeCell ref="A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2026-06-26T23:29:00Z</dcterms:created>
  <dc:creator>openpyxl</dc:creator>
  <dc:description/>
  <dc:language>en-US</dc:language>
  <cp:lastModifiedBy/>
  <dcterms:modified xsi:type="dcterms:W3CDTF">2026-06-26T23:29:00Z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