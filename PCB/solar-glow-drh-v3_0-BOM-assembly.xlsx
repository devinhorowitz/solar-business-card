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RH v3.0 ASSEMBLY BOM (placed)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A96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A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" min="1" max="1"/>
    <col width="5" customWidth="1" style="3" min="2" max="2"/>
    <col width="30" customWidth="1" style="3" min="3" max="3"/>
    <col width="26" customWidth="1" style="3" min="4" max="5"/>
    <col width="18" customWidth="1" style="3" min="6" max="6"/>
    <col width="26" customWidth="1" style="3" min="7" max="7"/>
    <col width="8" customWidth="1" style="3" min="8" max="9"/>
    <col width="9" customWidth="1" style="3" min="10" max="10"/>
    <col width="30" customWidth="1" style="3" min="11" max="11"/>
    <col width="26" customWidth="1" style="3" min="12" max="12"/>
    <col width="16" customWidth="1" style="3" min="13" max="13"/>
  </cols>
  <sheetData>
    <row r="1" ht="15" customHeight="1" s="4">
      <c r="A1" s="5" t="inlineStr">
        <is>
          <t>Ref(s)</t>
        </is>
      </c>
      <c r="B1" s="5" t="inlineStr">
        <is>
          <t>Qty</t>
        </is>
      </c>
      <c r="C1" s="5" t="inlineStr">
        <is>
          <t>Function</t>
        </is>
      </c>
      <c r="D1" s="5" t="inlineStr">
        <is>
          <t>Value</t>
        </is>
      </c>
      <c r="E1" s="5" t="inlineStr">
        <is>
          <t>Package / Footprint</t>
        </is>
      </c>
      <c r="F1" s="5" t="inlineStr">
        <is>
          <t>Mfr</t>
        </is>
      </c>
      <c r="G1" s="5" t="inlineStr">
        <is>
          <t>MPN (orderable)</t>
        </is>
      </c>
      <c r="H1" s="5" t="inlineStr">
        <is>
          <t>≈$/ea*</t>
        </is>
      </c>
      <c r="I1" s="5" t="inlineStr">
        <is>
          <t>Ext $</t>
        </is>
      </c>
      <c r="J1" s="5" t="inlineStr">
        <is>
          <t>Status</t>
        </is>
      </c>
      <c r="K1" s="5" t="inlineStr">
        <is>
          <t>Sourcing note / flag</t>
        </is>
      </c>
      <c r="L1" s="5" t="inlineStr">
        <is>
          <t>Datasheet (repo)</t>
        </is>
      </c>
      <c r="M1" s="5" t="inlineStr">
        <is>
          <t>DigiKey P/N</t>
        </is>
      </c>
    </row>
    <row r="2" ht="15" customHeight="1" s="4">
      <c r="A2" s="3" t="inlineStr">
        <is>
          <t>U1</t>
        </is>
      </c>
      <c r="B2" s="3" t="n">
        <v>1</v>
      </c>
      <c r="C2" s="3" t="inlineStr">
        <is>
          <t>MCU — 8-bit AVR; PWM, I²C, charge/sleep logic</t>
        </is>
      </c>
      <c r="D2" s="3" t="inlineStr">
        <is>
          <t>AVR64DD28, 64 KB, 24 MHz</t>
        </is>
      </c>
      <c r="E2" s="3" t="inlineStr">
        <is>
          <t>VQFN-28 (4×4×1.0 mm, w/ EP)</t>
        </is>
      </c>
      <c r="F2" s="3" t="inlineStr">
        <is>
          <t>Microchip</t>
        </is>
      </c>
      <c r="G2" s="3" t="inlineStr">
        <is>
          <t>AVR64DD28-I/STX</t>
        </is>
      </c>
      <c r="H2" s="3" t="n">
        <v>1.52</v>
      </c>
      <c r="I2" s="3" t="n">
        <v>1.52</v>
      </c>
      <c r="J2" s="3" t="inlineStr">
        <is>
          <t>LOCKED</t>
        </is>
      </c>
      <c r="K2" s="3" t="inlineStr">
        <is>
          <t>VQFN land has an exposed pad → EP to GND. /STX confirmed = VQFN-28 (4×4).</t>
        </is>
      </c>
      <c r="L2" s="3" t="inlineStr">
        <is>
          <t>U1  AVR64DD28-I-STX  $1.17.pdf</t>
        </is>
      </c>
      <c r="M2" s="3" t="inlineStr">
        <is>
          <t>(by MPN)</t>
        </is>
      </c>
    </row>
    <row r="3" ht="15" customHeight="1" s="4">
      <c r="A3" s="3" t="inlineStr">
        <is>
          <t>D1, D9</t>
        </is>
      </c>
      <c r="B3" s="3" t="n">
        <v>2</v>
      </c>
      <c r="C3" s="3" t="inlineStr">
        <is>
          <t>Per-panel blocking Schottky (VIN/VINB→VS); isolates cells + caps in the dark</t>
        </is>
      </c>
      <c r="D3" s="3" t="inlineStr">
        <is>
          <t>Schottky, Vf≈0.3–0.6 V</t>
        </is>
      </c>
      <c r="E3" s="3" t="inlineStr">
        <is>
          <t>SOD-123</t>
        </is>
      </c>
      <c r="F3" s="3" t="inlineStr">
        <is>
          <t>onsemi</t>
        </is>
      </c>
      <c r="G3" s="3" t="inlineStr">
        <is>
          <t>MMSD301T1G</t>
        </is>
      </c>
      <c r="H3" s="3" t="n">
        <v>0.125</v>
      </c>
      <c r="I3" s="3" t="n">
        <v>0.25</v>
      </c>
      <c r="J3" s="3" t="inlineStr">
        <is>
          <t>LOCKED</t>
        </is>
      </c>
      <c r="K3" s="3" t="inlineStr">
        <is>
          <t>Low-Vf for the ~4 V solar; one per panel so a half-shadow can't back-feed.</t>
        </is>
      </c>
      <c r="L3" s="3" t="inlineStr">
        <is>
          <t>D1,D9,D10,D11  MMSD301T1G  $0.37.pdf</t>
        </is>
      </c>
      <c r="M3" s="3" t="inlineStr">
        <is>
          <t>MMSD301T1GOSCT-ND</t>
        </is>
      </c>
    </row>
    <row r="4" ht="15" customHeight="1" s="4">
      <c r="A4" s="3" t="inlineStr">
        <is>
          <t>U2</t>
        </is>
      </c>
      <c r="B4" s="3" t="n">
        <v>1</v>
      </c>
      <c r="C4" s="3" t="inlineStr">
        <is>
          <t>Supercap balancer — dual SAB MOSFET across the MID node (auto leakage balance; keeps each cell &lt;2.75 V)</t>
        </is>
      </c>
      <c r="D4" s="3" t="inlineStr">
        <is>
          <t>Dual SAB, ~0.3 nA–1 mA</t>
        </is>
      </c>
      <c r="E4" s="3" t="inlineStr">
        <is>
          <t>SOIC-8</t>
        </is>
      </c>
      <c r="F4" s="3" t="inlineStr">
        <is>
          <t>Advanced Linear Devices</t>
        </is>
      </c>
      <c r="G4" s="3" t="inlineStr">
        <is>
          <t>ALD910025SALI</t>
        </is>
      </c>
      <c r="H4" s="3" t="n">
        <v>7.68</v>
      </c>
      <c r="I4" s="3" t="n">
        <v>7.68</v>
      </c>
      <c r="J4" s="3" t="inlineStr">
        <is>
          <t>LOCKED</t>
        </is>
      </c>
      <c r="K4" s="3" t="inlineStr">
        <is>
          <t>U2  ALD910025SALI  $7.68.pdf is the combined 810025/910025 datasheet — it covers this dual. SALI = industrial temp.</t>
        </is>
      </c>
      <c r="L4" s="3" t="inlineStr">
        <is>
          <t>U2  ALD910025SALI  $7.68.pdf</t>
        </is>
      </c>
      <c r="M4" s="3" t="inlineStr">
        <is>
          <t>ALD910025SALI-ND</t>
        </is>
      </c>
    </row>
    <row r="5" ht="15" customHeight="1" s="4">
      <c r="A5" s="3" t="inlineStr">
        <is>
          <t>D2–D5</t>
        </is>
      </c>
      <c r="B5" s="3" t="n">
        <v>4</v>
      </c>
      <c r="C5" s="3" t="inlineStr">
        <is>
          <t>Glow LEDs — reverse-mount; emit through the bare-FR4 'DRH' window</t>
        </is>
      </c>
      <c r="D5" s="3" t="inlineStr">
        <is>
          <t>Amber 617 nm, Vf≈2.25 V</t>
        </is>
      </c>
      <c r="E5" s="3" t="inlineStr">
        <is>
          <t>SMD, 3.4x1.9 mm</t>
        </is>
      </c>
      <c r="F5" s="3" t="inlineStr">
        <is>
          <t>ams OSRAM</t>
        </is>
      </c>
      <c r="G5" s="3" t="inlineStr">
        <is>
          <t>LA P47F-V2BB-24-3B5A-30-R18-Z</t>
        </is>
      </c>
      <c r="H5" s="3" t="n">
        <v>0.273</v>
      </c>
      <c r="I5" s="3" t="n">
        <v>1.092</v>
      </c>
      <c r="J5" s="3" t="inlineStr">
        <is>
          <t>LOCKED</t>
        </is>
      </c>
      <c r="K5" s="3" t="inlineStr">
        <is>
          <t>Reverse-mount; light path runs through the all-layer keepout window.</t>
        </is>
      </c>
      <c r="L5" s="3" t="inlineStr">
        <is>
          <t>D2-D5  LA P47F-V2BB-24-3B5A-30-R18-Z  $0.43.pdf</t>
        </is>
      </c>
      <c r="M5" s="3" t="inlineStr">
        <is>
          <t>475-LAP47F-V2BB-24-3B5A-30-R18-ZCT-ND</t>
        </is>
      </c>
    </row>
    <row r="6" ht="15" customHeight="1" s="4">
      <c r="A6" s="3" t="inlineStr">
        <is>
          <t>R1–R4</t>
        </is>
      </c>
      <c r="B6" s="3" t="n">
        <v>4</v>
      </c>
      <c r="C6" s="3" t="inlineStr">
        <is>
          <t>LED ballast — one per LED; sets per-LED current (low-side PWM)</t>
        </is>
      </c>
      <c r="D6" s="3" t="inlineStr">
        <is>
          <t>150 Ω, ±1%</t>
        </is>
      </c>
      <c r="E6" s="3" t="inlineStr">
        <is>
          <t>0402</t>
        </is>
      </c>
      <c r="F6" s="3" t="inlineStr">
        <is>
          <t>Yageo</t>
        </is>
      </c>
      <c r="G6" s="3" t="inlineStr">
        <is>
          <t>RC0402FR-07150RL</t>
        </is>
      </c>
      <c r="H6" s="3" t="n">
        <v>0.1</v>
      </c>
      <c r="I6" s="3" t="n">
        <v>0.4</v>
      </c>
      <c r="J6" s="3" t="inlineStr">
        <is>
          <t>SIZED</t>
        </is>
      </c>
      <c r="K6" s="3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6" s="3" t="inlineStr">
        <is>
          <t>—</t>
        </is>
      </c>
      <c r="M6" s="3" t="inlineStr">
        <is>
          <t>(by MPN)</t>
        </is>
      </c>
    </row>
    <row r="7" ht="15" customHeight="1" s="4">
      <c r="A7" s="3" t="inlineStr">
        <is>
          <t>R12</t>
        </is>
      </c>
      <c r="B7" s="3" t="n">
        <v>1</v>
      </c>
      <c r="C7" s="3" t="inlineStr">
        <is>
          <t>TINY-mode ballast — dims all LEDs via SW2 'TINY' for long-runtime glow</t>
        </is>
      </c>
      <c r="D7" s="3" t="inlineStr">
        <is>
          <t>220 Ω, ±1%</t>
        </is>
      </c>
      <c r="E7" s="3" t="inlineStr">
        <is>
          <t>0402</t>
        </is>
      </c>
      <c r="F7" s="3" t="inlineStr">
        <is>
          <t>Yageo</t>
        </is>
      </c>
      <c r="G7" s="3" t="inlineStr">
        <is>
          <t>RC0402FR-07220RL</t>
        </is>
      </c>
      <c r="J7" s="3" t="inlineStr">
        <is>
          <t>LOCKED</t>
        </is>
      </c>
      <c r="K7" s="3" t="inlineStr">
        <is>
          <t>Sets the SW2 TINY dim level; tunable. [v3.0: 0402 to match board land; price TBC]</t>
        </is>
      </c>
      <c r="L7" s="3" t="inlineStr">
        <is>
          <t>—</t>
        </is>
      </c>
      <c r="M7" s="3" t="inlineStr">
        <is>
          <t>(by MPN)</t>
        </is>
      </c>
    </row>
    <row r="8" ht="15" customHeight="1" s="4">
      <c r="A8" s="3" t="inlineStr">
        <is>
          <t>R5, R6</t>
        </is>
      </c>
      <c r="B8" s="3" t="n">
        <v>2</v>
      </c>
      <c r="C8" s="3" t="inlineStr">
        <is>
          <t>VSENSE divider — taps the solar input (VIN÷2) into PD2</t>
        </is>
      </c>
      <c r="D8" s="3" t="inlineStr">
        <is>
          <t>1 MΩ, ±1%</t>
        </is>
      </c>
      <c r="E8" s="3" t="inlineStr">
        <is>
          <t>0402</t>
        </is>
      </c>
      <c r="F8" s="3" t="inlineStr">
        <is>
          <t>Yageo</t>
        </is>
      </c>
      <c r="G8" s="3" t="inlineStr">
        <is>
          <t>RC0402FR-071ML</t>
        </is>
      </c>
      <c r="J8" s="3" t="inlineStr">
        <is>
          <t>LOCKED</t>
        </is>
      </c>
      <c r="K8" s="3" t="inlineStr">
        <is>
          <t>R5=R6 → VSENSE = VIN/2 (tracks light, ~0 V dark). Feeds ADC + the AC0 wake-on-light comparator. [v3.0: 0402 to match board land; price TBC]</t>
        </is>
      </c>
      <c r="L8" s="3" t="inlineStr">
        <is>
          <t>—</t>
        </is>
      </c>
      <c r="M8" s="3" t="inlineStr">
        <is>
          <t>(by MPN)</t>
        </is>
      </c>
    </row>
    <row r="9" ht="15" customHeight="1" s="4">
      <c r="A9" s="3" t="inlineStr">
        <is>
          <t>C5</t>
        </is>
      </c>
      <c r="B9" s="3" t="n">
        <v>1</v>
      </c>
      <c r="C9" s="3" t="inlineStr">
        <is>
          <t>VSENSE filter cap</t>
        </is>
      </c>
      <c r="D9" s="3" t="inlineStr">
        <is>
          <t>10 nF, X7R, 16 V</t>
        </is>
      </c>
      <c r="E9" s="3" t="inlineStr">
        <is>
          <t>0402</t>
        </is>
      </c>
      <c r="F9" s="3" t="inlineStr">
        <is>
          <t>Murata</t>
        </is>
      </c>
      <c r="G9" s="3" t="inlineStr">
        <is>
          <t>GRM155R71C103KA01D</t>
        </is>
      </c>
      <c r="J9" s="3" t="inlineStr">
        <is>
          <t>LOCKED</t>
        </is>
      </c>
      <c r="K9" s="3" t="inlineStr">
        <is>
          <t>RC filter on the VSENSE node. [v3.0: 0402 to match board land; price TBC]</t>
        </is>
      </c>
      <c r="L9" s="3" t="inlineStr">
        <is>
          <t>(Murata GRM155 family)</t>
        </is>
      </c>
      <c r="M9" s="3" t="inlineStr">
        <is>
          <t>(by MPN)</t>
        </is>
      </c>
    </row>
    <row r="10" ht="15" customHeight="1" s="4">
      <c r="A10" s="3" t="inlineStr">
        <is>
          <t>U3</t>
        </is>
      </c>
      <c r="B10" s="3" t="n">
        <v>1</v>
      </c>
      <c r="C10" s="3" t="inlineStr">
        <is>
          <t>3-axis accelerometer — tap/double-tap wake; INT1/INT2 → PF1/PF0</t>
        </is>
      </c>
      <c r="D10" s="3" t="inlineStr">
        <is>
          <t>I²C 0x1D, ±2–8 g</t>
        </is>
      </c>
      <c r="E10" s="3" t="inlineStr">
        <is>
          <t>LGA-12 CC-12-4 (2.2×2.3×0.87 mm)</t>
        </is>
      </c>
      <c r="F10" s="3" t="inlineStr">
        <is>
          <t>Analog Devices</t>
        </is>
      </c>
      <c r="G10" s="3" t="inlineStr">
        <is>
          <t>ADXL367BCCZ-RL7</t>
        </is>
      </c>
      <c r="H10" s="3" t="n">
        <v>7.5</v>
      </c>
      <c r="I10" s="3" t="n">
        <v>7.5</v>
      </c>
      <c r="J10" s="3" t="inlineStr">
        <is>
          <t>LOCKED</t>
        </is>
      </c>
      <c r="K10" s="3" t="inlineStr">
        <is>
          <t>SCLK→GND (I²C); ASEL (pin 3)→GND ⇒ addr 0x1D. FOOTPRINT = placeholder ST land re-netted by pin #; swap ADI CC-12-4 land before fab.</t>
        </is>
      </c>
      <c r="L10" s="3" t="inlineStr">
        <is>
          <t>datasheets/U3  ADXL367BCCZ-RL7  $7.50.pdf</t>
        </is>
      </c>
      <c r="M10" s="3" t="inlineStr">
        <is>
          <t>(by MPN)</t>
        </is>
      </c>
    </row>
    <row r="11" ht="15" customHeight="1" s="4">
      <c r="A11" s="3" t="inlineStr">
        <is>
          <t>R10, R11</t>
        </is>
      </c>
      <c r="B11" s="3" t="n">
        <v>2</v>
      </c>
      <c r="C11" s="3" t="inlineStr">
        <is>
          <t>I²C pull-ups (TWI0 host on PC2/PC3) → VS</t>
        </is>
      </c>
      <c r="D11" s="3" t="inlineStr">
        <is>
          <t>4.7 kΩ, ±1%</t>
        </is>
      </c>
      <c r="E11" s="3" t="inlineStr">
        <is>
          <t>0402</t>
        </is>
      </c>
      <c r="F11" s="3" t="inlineStr">
        <is>
          <t>Yageo</t>
        </is>
      </c>
      <c r="G11" s="3" t="inlineStr">
        <is>
          <t>RC0402FR-074K7L</t>
        </is>
      </c>
      <c r="J11" s="3" t="inlineStr">
        <is>
          <t>LOCKED</t>
        </is>
      </c>
      <c r="K11" s="3" t="inlineStr">
        <is>
          <t>Required — open-drain TWI bus. Firmware must set TWIROUTEA = ALT2. [v3.0: 0402 to match board land; price TBC]</t>
        </is>
      </c>
      <c r="L11" s="3" t="inlineStr">
        <is>
          <t>—</t>
        </is>
      </c>
      <c r="M11" s="3" t="inlineStr">
        <is>
          <t>(by MPN)</t>
        </is>
      </c>
    </row>
    <row r="12" ht="15" customHeight="1" s="4">
      <c r="A12" s="3" t="inlineStr">
        <is>
          <t>U4</t>
        </is>
      </c>
      <c r="B12" s="3" t="n">
        <v>1</v>
      </c>
      <c r="C12" s="3" t="inlineStr">
        <is>
          <t>Comparator + 1.242 V ref, open-drain</t>
        </is>
      </c>
      <c r="D12" s="3" t="inlineStr">
        <is>
          <t>TLV3011BIDBVR</t>
        </is>
      </c>
      <c r="E12" s="3" t="inlineStr">
        <is>
          <t>SOT-23-6</t>
        </is>
      </c>
      <c r="F12" s="3" t="inlineStr">
        <is>
          <t>Texas Instruments</t>
        </is>
      </c>
      <c r="G12" s="3" t="inlineStr">
        <is>
          <t>TLV3011BIDBVR</t>
        </is>
      </c>
      <c r="H12" s="3" t="n">
        <v>2.78</v>
      </c>
      <c r="I12" s="3" t="n">
        <v>2.78</v>
      </c>
      <c r="J12" s="3" t="inlineStr">
        <is>
          <t>LOCKED</t>
        </is>
      </c>
      <c r="K12" s="3" t="inlineStr">
        <is>
          <t>TLV3011B comparator (SOT-23-6). Corrected 2026-07-04 from the stale v2 TLV431B — high-Z inputs let the R7/R8 divider go to 6.81M/3.74M for a tighter, lower-drain clamp. Pinout: 1=V+ 2=REF 3=IN- 4=GND 5=OUT 6=IN+.</t>
        </is>
      </c>
      <c r="L12" s="3" t="inlineStr">
        <is>
          <t>U4  TLV3011BIDBVR  $2.78.pdf</t>
        </is>
      </c>
      <c r="M12" s="3" t="inlineStr">
        <is>
          <t>(by MPN)</t>
        </is>
      </c>
    </row>
    <row r="13" ht="15" customHeight="1" s="4">
      <c r="A13" s="3" t="inlineStr">
        <is>
          <t>Q1</t>
        </is>
      </c>
      <c r="B13" s="3" t="n">
        <v>1</v>
      </c>
      <c r="C13" s="3" t="inlineStr">
        <is>
          <t>Rail-clamp pass PNP — shunts VS→GND when U4 trips</t>
        </is>
      </c>
      <c r="D13" s="3" t="inlineStr">
        <is>
          <t>PNP (BCP53 family)</t>
        </is>
      </c>
      <c r="E13" s="3" t="inlineStr">
        <is>
          <t>SOT / WDFN</t>
        </is>
      </c>
      <c r="F13" s="3" t="inlineStr">
        <is>
          <t>onsemi</t>
        </is>
      </c>
      <c r="G13" s="3" t="inlineStr">
        <is>
          <t>BCP5316MTWG</t>
        </is>
      </c>
      <c r="H13" s="3" t="n">
        <v>0.45</v>
      </c>
      <c r="I13" s="3" t="n">
        <v>0.45</v>
      </c>
      <c r="J13" s="3" t="inlineStr">
        <is>
          <t>LOCKED</t>
        </is>
      </c>
      <c r="K13" s="3" t="inlineStr">
        <is>
          <t>Emitter=VS, collector=GND, base=CLBASE.</t>
        </is>
      </c>
      <c r="L13" s="3" t="inlineStr">
        <is>
          <t>Q1  BCP5316MTWG  $0.79.pdf</t>
        </is>
      </c>
      <c r="M13" s="3" t="inlineStr">
        <is>
          <t>(by MPN)</t>
        </is>
      </c>
    </row>
    <row r="14" ht="15" customHeight="1" s="4">
      <c r="A14" s="3" t="inlineStr">
        <is>
          <t>R7</t>
        </is>
      </c>
      <c r="B14" s="3" t="n">
        <v>1</v>
      </c>
      <c r="C14" s="3" t="inlineStr">
        <is>
          <t>Clamp divider top — sets VS trip with R8</t>
        </is>
      </c>
      <c r="D14" s="3" t="inlineStr">
        <is>
          <t>1.8 MΩ, ±1%</t>
        </is>
      </c>
      <c r="E14" s="3" t="inlineStr">
        <is>
          <t>0402</t>
        </is>
      </c>
      <c r="F14" s="3" t="inlineStr">
        <is>
          <t>Yageo</t>
        </is>
      </c>
      <c r="G14" s="3" t="inlineStr">
        <is>
          <t>RC0402FR-071M8L</t>
        </is>
      </c>
      <c r="J14" s="3" t="inlineStr">
        <is>
          <t>LOCKED</t>
        </is>
      </c>
      <c r="K14" s="3" t="inlineStr">
        <is>
          <t>Trip = 1.24×(1+R7/R8) = 3.47 V. [v3.0: 0402 to match board land; price TBC]</t>
        </is>
      </c>
      <c r="L14" s="3" t="inlineStr">
        <is>
          <t>—</t>
        </is>
      </c>
      <c r="M14" s="3" t="inlineStr">
        <is>
          <t>(by MPN)</t>
        </is>
      </c>
    </row>
    <row r="15" ht="15" customHeight="1" s="4">
      <c r="A15" s="3" t="inlineStr">
        <is>
          <t>R8</t>
        </is>
      </c>
      <c r="B15" s="3" t="n">
        <v>1</v>
      </c>
      <c r="C15" s="3" t="inlineStr">
        <is>
          <t>Clamp divider bottom</t>
        </is>
      </c>
      <c r="D15" s="3" t="inlineStr">
        <is>
          <t>1 MΩ, ±1%</t>
        </is>
      </c>
      <c r="E15" s="3" t="inlineStr">
        <is>
          <t>0402</t>
        </is>
      </c>
      <c r="F15" s="3" t="inlineStr">
        <is>
          <t>Yageo</t>
        </is>
      </c>
      <c r="G15" s="3" t="inlineStr">
        <is>
          <t>RC0402FR-071ML</t>
        </is>
      </c>
      <c r="J15" s="3" t="inlineStr">
        <is>
          <t>LOCKED</t>
        </is>
      </c>
      <c r="K15" s="3" t="inlineStr">
        <is>
          <t>Divider midpoint (CLREF) → TLV431 ref. [v3.0: 0402 to match board land; price TBC]</t>
        </is>
      </c>
      <c r="L15" s="3" t="inlineStr">
        <is>
          <t>—</t>
        </is>
      </c>
      <c r="M15" s="3" t="inlineStr">
        <is>
          <t>(by MPN)</t>
        </is>
      </c>
    </row>
    <row r="16" ht="15" customHeight="1" s="4">
      <c r="A16" s="3" t="inlineStr">
        <is>
          <t>R9</t>
        </is>
      </c>
      <c r="B16" s="3" t="n">
        <v>1</v>
      </c>
      <c r="C16" s="3" t="inlineStr">
        <is>
          <t>Clamp base pull-up / cathode path</t>
        </is>
      </c>
      <c r="D16" s="3" t="inlineStr">
        <is>
          <t>1 kΩ, ±1%</t>
        </is>
      </c>
      <c r="E16" s="3" t="inlineStr">
        <is>
          <t>0402</t>
        </is>
      </c>
      <c r="F16" s="3" t="inlineStr">
        <is>
          <t>Yageo</t>
        </is>
      </c>
      <c r="G16" s="3" t="inlineStr">
        <is>
          <t>RC0402FR-071KL</t>
        </is>
      </c>
      <c r="J16" s="3" t="inlineStr">
        <is>
          <t>LOCKED</t>
        </is>
      </c>
      <c r="K16" s="3" t="inlineStr">
        <is>
          <t>VS→CLBASE; holds Q1 off until U4 conducts. [v3.0: 0402 to match board land; price TBC]</t>
        </is>
      </c>
      <c r="L16" s="3" t="inlineStr">
        <is>
          <t>—</t>
        </is>
      </c>
      <c r="M16" s="3" t="inlineStr">
        <is>
          <t>(by MPN)</t>
        </is>
      </c>
    </row>
    <row r="17" ht="15" customHeight="1" s="4">
      <c r="A17" s="3" t="inlineStr">
        <is>
          <t>C1</t>
        </is>
      </c>
      <c r="B17" s="3" t="n">
        <v>1</v>
      </c>
      <c r="C17" s="3" t="inlineStr">
        <is>
          <t>MCU decoupling (VDD)</t>
        </is>
      </c>
      <c r="D17" s="3" t="inlineStr">
        <is>
          <t>100 nF, X7R, 16 V</t>
        </is>
      </c>
      <c r="E17" s="3" t="inlineStr">
        <is>
          <t>0402</t>
        </is>
      </c>
      <c r="F17" s="3" t="inlineStr">
        <is>
          <t>Murata</t>
        </is>
      </c>
      <c r="G17" s="3" t="inlineStr">
        <is>
          <t>GRM155R71C104KA88D</t>
        </is>
      </c>
      <c r="J17" s="3" t="inlineStr">
        <is>
          <t>LOCKED</t>
        </is>
      </c>
      <c r="K17" s="3" t="inlineStr">
        <is>
          <t xml:space="preserve"> [v3.0: 0402 to match board land; price TBC]</t>
        </is>
      </c>
      <c r="L17" s="3" t="inlineStr">
        <is>
          <t>(Murata GRM155 family)</t>
        </is>
      </c>
      <c r="M17" s="3" t="inlineStr">
        <is>
          <t>(by MPN)</t>
        </is>
      </c>
    </row>
    <row r="18" ht="15" customHeight="1" s="4">
      <c r="A18" s="3" t="inlineStr">
        <is>
          <t>C2, C3</t>
        </is>
      </c>
      <c r="B18" s="3" t="n">
        <v>2</v>
      </c>
      <c r="C18" s="3" t="inlineStr">
        <is>
          <t>Decoupling — VDDIO2 / MCU</t>
        </is>
      </c>
      <c r="D18" s="3" t="inlineStr">
        <is>
          <t>100 nF, X7R, 16 V</t>
        </is>
      </c>
      <c r="E18" s="3" t="inlineStr">
        <is>
          <t>0402</t>
        </is>
      </c>
      <c r="F18" s="3" t="inlineStr">
        <is>
          <t>Murata</t>
        </is>
      </c>
      <c r="G18" s="3" t="inlineStr">
        <is>
          <t>GRM155R71C104KA88D</t>
        </is>
      </c>
      <c r="J18" s="3" t="inlineStr">
        <is>
          <t>LOCKED</t>
        </is>
      </c>
      <c r="K18" s="3" t="inlineStr">
        <is>
          <t xml:space="preserve"> [v3.0: 0402 to match board land; price TBC]</t>
        </is>
      </c>
      <c r="L18" s="3" t="inlineStr">
        <is>
          <t>(Murata GRM155 family)</t>
        </is>
      </c>
      <c r="M18" s="3" t="inlineStr">
        <is>
          <t>(by MPN)</t>
        </is>
      </c>
    </row>
    <row r="19" ht="15" customHeight="1" s="4">
      <c r="A19" s="3" t="inlineStr">
        <is>
          <t>C4</t>
        </is>
      </c>
      <c r="B19" s="3" t="n">
        <v>1</v>
      </c>
      <c r="C19" s="3" t="inlineStr">
        <is>
          <t>VS-rail bulk decoupling</t>
        </is>
      </c>
      <c r="D19" s="3" t="inlineStr">
        <is>
          <t>1 µF, X5R, 10 V</t>
        </is>
      </c>
      <c r="E19" s="3" t="inlineStr">
        <is>
          <t>0402</t>
        </is>
      </c>
      <c r="F19" s="3" t="inlineStr">
        <is>
          <t>Murata</t>
        </is>
      </c>
      <c r="G19" s="3" t="inlineStr">
        <is>
          <t>GRM155R61A105KE15D</t>
        </is>
      </c>
      <c r="J19" s="3" t="inlineStr">
        <is>
          <t>LOCKED</t>
        </is>
      </c>
      <c r="K19" s="3" t="inlineStr">
        <is>
          <t xml:space="preserve"> [v3.0: 0402 to match board land; price TBC]</t>
        </is>
      </c>
      <c r="L19" s="3" t="inlineStr">
        <is>
          <t>(Murata GRM155 family)</t>
        </is>
      </c>
      <c r="M19" s="3" t="inlineStr">
        <is>
          <t>(by MPN)</t>
        </is>
      </c>
    </row>
    <row r="20" ht="15" customHeight="1" s="4">
      <c r="A20" s="3" t="inlineStr">
        <is>
          <t>C6</t>
        </is>
      </c>
      <c r="B20" s="3" t="n">
        <v>1</v>
      </c>
      <c r="C20" s="3" t="inlineStr">
        <is>
          <t>Accelerometer decoupling</t>
        </is>
      </c>
      <c r="D20" s="3" t="inlineStr">
        <is>
          <t>100 nF, X7R, 16 V</t>
        </is>
      </c>
      <c r="E20" s="3" t="inlineStr">
        <is>
          <t>0402</t>
        </is>
      </c>
      <c r="F20" s="3" t="inlineStr">
        <is>
          <t>Murata</t>
        </is>
      </c>
      <c r="G20" s="3" t="inlineStr">
        <is>
          <t>GRM155R71C104KA88D</t>
        </is>
      </c>
      <c r="J20" s="3" t="inlineStr">
        <is>
          <t>LOCKED</t>
        </is>
      </c>
      <c r="K20" s="3" t="inlineStr">
        <is>
          <t xml:space="preserve"> [v3.0: 0402 to match board land; price TBC]</t>
        </is>
      </c>
      <c r="L20" s="3" t="inlineStr">
        <is>
          <t>(Murata GRM155 family)</t>
        </is>
      </c>
      <c r="M20" s="3" t="inlineStr">
        <is>
          <t>(by MPN)</t>
        </is>
      </c>
    </row>
    <row r="21" ht="15" customHeight="1" s="4">
      <c r="A21" s="3" t="inlineStr">
        <is>
          <t>C11</t>
        </is>
      </c>
      <c r="B21" s="3" t="n">
        <v>1</v>
      </c>
      <c r="C21" s="3" t="inlineStr">
        <is>
          <t>Accelerometer VREG_OUT decoupling (mandatory)</t>
        </is>
      </c>
      <c r="D21" s="3" t="inlineStr">
        <is>
          <t>0.2 µF, X7R, 16 V</t>
        </is>
      </c>
      <c r="E21" s="3" t="inlineStr">
        <is>
          <t>0402</t>
        </is>
      </c>
      <c r="F21" s="3" t="inlineStr">
        <is>
          <t>Murata</t>
        </is>
      </c>
      <c r="G21" s="3" t="inlineStr">
        <is>
          <t>GRM155R71C224KA12D</t>
        </is>
      </c>
      <c r="J21" s="3" t="inlineStr">
        <is>
          <t>LOCKED</t>
        </is>
      </c>
      <c r="K21" s="3" t="inlineStr">
        <is>
          <t>ADXL367 pin 9 VREG_OUT1 → GND. Datasheet-mandated 0.2 µF; 0.22 µF nearest std.</t>
        </is>
      </c>
      <c r="L21" s="3" t="inlineStr">
        <is>
          <t>(Murata GRM155 family)</t>
        </is>
      </c>
      <c r="M21" s="3" t="inlineStr">
        <is>
          <t>(by MPN)</t>
        </is>
      </c>
    </row>
    <row r="22" ht="15" customHeight="1" s="4">
      <c r="A22" s="3" t="inlineStr">
        <is>
          <t>C12</t>
        </is>
      </c>
      <c r="B22" s="3" t="n">
        <v>1</v>
      </c>
      <c r="C22" s="3" t="inlineStr">
        <is>
          <t>Accelerometer VDDIO decoupling</t>
        </is>
      </c>
      <c r="D22" s="3" t="inlineStr">
        <is>
          <t>100 nF, X7R, 16 V</t>
        </is>
      </c>
      <c r="E22" s="3" t="inlineStr">
        <is>
          <t>0402</t>
        </is>
      </c>
      <c r="F22" s="3" t="inlineStr">
        <is>
          <t>Murata</t>
        </is>
      </c>
      <c r="G22" s="3" t="inlineStr">
        <is>
          <t>GRM155R71C104KA88D</t>
        </is>
      </c>
      <c r="J22" s="3" t="inlineStr">
        <is>
          <t>LOCKED</t>
        </is>
      </c>
      <c r="K22" s="3" t="inlineStr">
        <is>
          <t>ADXL367 pin 12 VDDIO → GND.</t>
        </is>
      </c>
      <c r="L22" s="3" t="inlineStr">
        <is>
          <t>(Murata GRM155 family)</t>
        </is>
      </c>
      <c r="M22" s="3" t="inlineStr">
        <is>
          <t>(by MPN)</t>
        </is>
      </c>
    </row>
    <row r="23" ht="15" customHeight="1" s="4">
      <c r="A23" s="3" t="inlineStr">
        <is>
          <t>C7</t>
        </is>
      </c>
      <c r="B23" s="3" t="n">
        <v>1</v>
      </c>
      <c r="C23" s="3" t="inlineStr">
        <is>
          <t>Clamp local decoupling</t>
        </is>
      </c>
      <c r="D23" s="3" t="inlineStr">
        <is>
          <t>100 nF, X7R, 16 V</t>
        </is>
      </c>
      <c r="E23" s="3" t="inlineStr">
        <is>
          <t>0402</t>
        </is>
      </c>
      <c r="F23" s="3" t="inlineStr">
        <is>
          <t>Murata</t>
        </is>
      </c>
      <c r="G23" s="3" t="inlineStr">
        <is>
          <t>GRM155R71C104KA88D</t>
        </is>
      </c>
      <c r="J23" s="3" t="inlineStr">
        <is>
          <t>LOCKED</t>
        </is>
      </c>
      <c r="K23" s="3" t="inlineStr">
        <is>
          <t xml:space="preserve"> [v3.0: 0402 to match board land; price TBC]</t>
        </is>
      </c>
      <c r="L23" s="3" t="inlineStr">
        <is>
          <t>(Murata GRM155 family)</t>
        </is>
      </c>
      <c r="M23" s="3" t="inlineStr">
        <is>
          <t>(by MPN)</t>
        </is>
      </c>
    </row>
    <row r="24" ht="15" customHeight="1" s="4">
      <c r="A24" s="3" t="inlineStr">
        <is>
          <t>SJ1</t>
        </is>
      </c>
      <c r="B24" s="3" t="n">
        <v>1</v>
      </c>
      <c r="C24" s="3" t="inlineStr">
        <is>
          <t>VDDIO2 tie — bonds VDDIO2 to VS (MVIO unused)</t>
        </is>
      </c>
      <c r="D24" s="3" t="inlineStr">
        <is>
          <t>0 Ω jumper</t>
        </is>
      </c>
      <c r="E24" s="3" t="inlineStr">
        <is>
          <t>0805</t>
        </is>
      </c>
      <c r="F24" s="3" t="inlineStr">
        <is>
          <t>Yageo</t>
        </is>
      </c>
      <c r="G24" s="3" t="inlineStr">
        <is>
          <t>RC0805JR-070RL</t>
        </is>
      </c>
      <c r="H24" s="3" t="n">
        <v>0.05</v>
      </c>
      <c r="I24" s="3" t="n">
        <v>0.05</v>
      </c>
      <c r="J24" s="3" t="inlineStr">
        <is>
          <t>LOCKED</t>
        </is>
      </c>
      <c r="L24" s="3" t="inlineStr">
        <is>
          <t>—</t>
        </is>
      </c>
      <c r="M24" s="3" t="inlineStr">
        <is>
          <t>(by MPN)</t>
        </is>
      </c>
    </row>
    <row r="25" ht="15" customHeight="1" s="4">
      <c r="A25" s="3" t="inlineStr">
        <is>
          <t>U5</t>
        </is>
      </c>
      <c r="B25" s="3" t="n">
        <v>1</v>
      </c>
      <c r="C25" s="3" t="inlineStr">
        <is>
          <t>NFC tag — NTAG I²C plus 2K; phone reads/writes EEPROM, FD signals field to MCU</t>
        </is>
      </c>
      <c r="D25" s="3" t="inlineStr">
        <is>
          <t>NTAG I²C plus, 2 KB, I²C 0x55</t>
        </is>
      </c>
      <c r="E25" s="3" t="inlineStr">
        <is>
          <t>XQFN8 (SOT902-3, 1.6×1.6×0.5 mm)</t>
        </is>
      </c>
      <c r="F25" s="3" t="inlineStr">
        <is>
          <t>NXP</t>
        </is>
      </c>
      <c r="G25" s="3" t="inlineStr">
        <is>
          <t>NT3H2211W0FHKH</t>
        </is>
      </c>
      <c r="H25" s="3" t="n">
        <v>0.75</v>
      </c>
      <c r="I25" s="3" t="n">
        <v>0.75</v>
      </c>
      <c r="J25" s="3" t="inlineStr">
        <is>
          <t>LOCKED</t>
        </is>
      </c>
      <c r="K25" s="3" t="inlineStr">
        <is>
          <t>v2.2 NFC addition. XQFN8 = SOT902-3 (datasheet Table 1). I²C 0x55 (no clash w/ accel 0x1D). VCC→VS; VOUT pin 7 unconnected. Confirm live price.</t>
        </is>
      </c>
      <c r="L25" s="3" t="inlineStr">
        <is>
          <t>U5  NT3H2211W0FHKH  $1.38.pdf</t>
        </is>
      </c>
      <c r="M25" s="3" t="inlineStr">
        <is>
          <t>(by MPN)</t>
        </is>
      </c>
    </row>
    <row r="26" ht="15" customHeight="1" s="4">
      <c r="A26" s="3" t="inlineStr">
        <is>
          <t>C8</t>
        </is>
      </c>
      <c r="B26" s="3" t="n">
        <v>1</v>
      </c>
      <c r="C26" s="3" t="inlineStr">
        <is>
          <t>NFC tag (U5) VCC decoupling</t>
        </is>
      </c>
      <c r="D26" s="3" t="inlineStr">
        <is>
          <t>100 nF, X7R, 16 V</t>
        </is>
      </c>
      <c r="E26" s="3" t="inlineStr">
        <is>
          <t>0402</t>
        </is>
      </c>
      <c r="F26" s="3" t="inlineStr">
        <is>
          <t>Murata</t>
        </is>
      </c>
      <c r="G26" s="3" t="inlineStr">
        <is>
          <t>GRM155R71C104KA88D</t>
        </is>
      </c>
      <c r="J26" s="3" t="inlineStr">
        <is>
          <t>LOCKED</t>
        </is>
      </c>
      <c r="K26" s="3" t="inlineStr">
        <is>
          <t>v2.2 NFC addition. Same part as C1/C2/C3/C6/C7. [v3.0: 0402 to match board land; price TBC]</t>
        </is>
      </c>
      <c r="L26" s="3" t="inlineStr">
        <is>
          <t>(Murata GRM155 family)</t>
        </is>
      </c>
      <c r="M26" s="3" t="inlineStr">
        <is>
          <t>(by MPN)</t>
        </is>
      </c>
    </row>
    <row r="27" ht="15" customHeight="1" s="4">
      <c r="A27" s="3" t="inlineStr">
        <is>
          <t>C13</t>
        </is>
      </c>
      <c r="B27" s="3" t="n">
        <v>1</v>
      </c>
      <c r="C27" s="3" t="inlineStr">
        <is>
          <t>LED-anode bulk — supplies the glow-PWM transient locally, keeps it off the shared VS rail (MCU/accel)</t>
        </is>
      </c>
      <c r="D27" s="3" t="inlineStr">
        <is>
          <t>4.7 µF, X5R, 10 V</t>
        </is>
      </c>
      <c r="E27" s="3" t="inlineStr">
        <is>
          <t>0402</t>
        </is>
      </c>
      <c r="F27" s="3" t="inlineStr">
        <is>
          <t>Murata</t>
        </is>
      </c>
      <c r="G27" s="3" t="inlineStr">
        <is>
          <t>GRM155R61A475MEAAD</t>
        </is>
      </c>
      <c r="J27" s="3" t="inlineStr">
        <is>
          <t>ADD</t>
        </is>
      </c>
      <c r="K27" s="3" t="inlineStr">
        <is>
          <t>NEW bulk at the LED anode (LED side of SW2). ~3 uF effective at ~3.4 V after DC-bias derate = ~3x the C4 bulk. Place ~(20, 47.9) B.Cu, south of the window. Bench-gate: only load-bearing if the glow visibly modulates VS. 4.7 uF X5R 0402 10V is a real, stocked part; GRM155R61A475MEAAD is format-derived from the Murata convention — confirm exact suffix/availability at cart (Samsung CL05A475M* / Yageo CC0402 equiv all fine).</t>
        </is>
      </c>
      <c r="M27" s="3" t="inlineStr">
        <is>
          <t>(format-derived — confirm)</t>
        </is>
      </c>
    </row>
    <row r="28" ht="15" customHeight="1" s="4">
      <c r="A28" s="3" t="inlineStr">
        <is>
          <t>R13</t>
        </is>
      </c>
      <c r="B28" s="3" t="n">
        <v>1</v>
      </c>
      <c r="C28" s="3" t="inlineStr">
        <is>
          <t>NFC FD pull-up — open-drain FD (U5 pin 4) → PA6</t>
        </is>
      </c>
      <c r="D28" s="3" t="inlineStr">
        <is>
          <t>10 kΩ, ±1%</t>
        </is>
      </c>
      <c r="E28" s="3" t="inlineStr">
        <is>
          <t>0402</t>
        </is>
      </c>
      <c r="F28" s="3" t="inlineStr">
        <is>
          <t>Yageo</t>
        </is>
      </c>
      <c r="G28" s="3" t="inlineStr">
        <is>
          <t>RC0402FR-0710KL</t>
        </is>
      </c>
      <c r="J28" s="3" t="inlineStr">
        <is>
          <t>LOCKED</t>
        </is>
      </c>
      <c r="K28" s="3" t="inlineStr">
        <is>
          <t>v2.2 NFC addition. Pulls open-drain FD up to VS. [v3.0: 0402 to match board land; price TBC]</t>
        </is>
      </c>
      <c r="L28" s="3" t="inlineStr">
        <is>
          <t>—</t>
        </is>
      </c>
      <c r="M28" s="3" t="inlineStr">
        <is>
          <t>(by MPN)</t>
        </is>
      </c>
    </row>
    <row r="29" ht="15" customHeight="1" s="4">
      <c r="A29" s="3" t="inlineStr">
        <is>
          <t>U6</t>
        </is>
      </c>
      <c r="B29" s="3" t="n">
        <v>1</v>
      </c>
      <c r="C29" s="3" t="inlineStr">
        <is>
          <t>NFC VNFC load switch — power-gates U5 VCC from PA7 (NFC_EN)</t>
        </is>
      </c>
      <c r="D29" s="3" t="inlineStr">
        <is>
          <t>High-side load switch</t>
        </is>
      </c>
      <c r="E29" s="3" t="inlineStr">
        <is>
          <t>SOT-23-6 (DBV)</t>
        </is>
      </c>
      <c r="F29" s="3" t="inlineStr">
        <is>
          <t>Texas Instruments</t>
        </is>
      </c>
      <c r="G29" s="3" t="inlineStr">
        <is>
          <t>TPS22918DBVR</t>
        </is>
      </c>
      <c r="H29" s="3" t="n">
        <v>0.55</v>
      </c>
      <c r="I29" s="3" t="n">
        <v>0.55</v>
      </c>
      <c r="J29" s="3" t="inlineStr">
        <is>
          <t>LOCKED</t>
        </is>
      </c>
      <c r="K29" s="3" t="inlineStr">
        <is>
          <t>v3.0 addition. VIN=VS, VOUT=VNFC, ON=NFC_EN, QOD strapped to VOUT (internal RPD ~25 ohm discharge), CT floating (sanctioned per DS). Pin map VERIFIED against TI SLVSD76C (TPS22918 Rev C, repo datasheets/U6  TPS22918DBVR  $0.55.pdf; the -Q1 doc SLVSCZ8B matches identically) 2026-07-02 -- check caught a real board defect (VIN/VOUT + GND/QOD transposed on the symbol); fixed on the board same day. $0.55 @ qty 1 (DigiKey, 2026-07-02). ISD 0.5 uA typ / 3.5 uA max standing draw on VS when off.</t>
        </is>
      </c>
      <c r="L29" s="3" t="inlineStr">
        <is>
          <t>datasheets/U6  TPS22918DBVR  $0.55.pdf</t>
        </is>
      </c>
      <c r="M29" s="3" t="inlineStr">
        <is>
          <t>(by MPN)</t>
        </is>
      </c>
    </row>
    <row r="30" ht="15" customHeight="1" s="4">
      <c r="A30" s="3" t="inlineStr">
        <is>
          <t>R14</t>
        </is>
      </c>
      <c r="B30" s="3" t="n">
        <v>1</v>
      </c>
      <c r="C30" s="3" t="inlineStr">
        <is>
          <t>NFC_EN pulldown — holds U6 OFF while PA7 tristates (UPDI / reset / brown-out)</t>
        </is>
      </c>
      <c r="D30" s="3" t="inlineStr">
        <is>
          <t>100 kΩ, ±1%</t>
        </is>
      </c>
      <c r="E30" s="3" t="inlineStr">
        <is>
          <t>0402</t>
        </is>
      </c>
      <c r="F30" s="3" t="inlineStr">
        <is>
          <t>Yageo</t>
        </is>
      </c>
      <c r="G30" s="3" t="inlineStr">
        <is>
          <t>RC0402FR-07100KL</t>
        </is>
      </c>
      <c r="J30" s="3" t="inlineStr">
        <is>
          <t>LOCKED</t>
        </is>
      </c>
      <c r="K30" s="3" t="inlineStr">
        <is>
          <t>v3.0 addition, placed with the R14 board patch at (4.39, 29.4). Price TBC.</t>
        </is>
      </c>
      <c r="L30" s="3" t="inlineStr">
        <is>
          <t>—</t>
        </is>
      </c>
      <c r="M30" s="3" t="inlineStr">
        <is>
          <t>(by MPN)</t>
        </is>
      </c>
    </row>
    <row r="31" ht="15" customHeight="1" s="4">
      <c r="A31" s="3" t="inlineStr">
        <is>
          <t>Placed-parts subtotal (per board)</t>
        </is>
      </c>
      <c r="I31" s="3">
        <f>SUM(I2:I30)</f>
        <v/>
      </c>
    </row>
    <row r="32" ht="15" customHeight="1" s="4"/>
    <row r="33" ht="15" customHeight="1" s="4">
      <c r="A33" s="3" t="inlineStr">
        <is>
          <t>NOTE: PCBWay turnkey BOM — machine-placed, bottom side, 39 parts. Converted 0402 lines + U6/R14 have prices blanked pending quote.</t>
        </is>
      </c>
    </row>
    <row r="34" ht="15" customHeight="1" s="4">
      <c r="A34" s="3" t="inlineStr">
        <is>
          <t>Hand-soldered by customer, NOT on this BOM: SC1-SC4 (supercaps), PV1-PV2 (solar cells).</t>
        </is>
      </c>
    </row>
    <row r="35" ht="15" customHeight="1" s="4">
      <c r="A35" s="3" t="inlineStr">
        <is>
          <t>Not placed: SW2, SB1-SB4 (bridges), TC1 (Tag-Connect), J1/JP1/JP2 (headers), MH1-MH4, C9 (NFC trim, DNP).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2026-06-28T01:41:12Z</dcterms:created>
  <dcterms:modified xmlns:dcterms="http://purl.org/dc/terms/" xmlns:xsi="http://www.w3.org/2001/XMLSchema-instance" xsi:type="dcterms:W3CDTF">2026-07-06T20:44:03Z</dcterms:modified>
  <cp:revision>0</cp:revision>
</cp:coreProperties>
</file>