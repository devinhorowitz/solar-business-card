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RH v4.0 ASSEMBLY BOM (placed)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305A96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A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" min="1" max="1"/>
    <col width="5" customWidth="1" style="3" min="2" max="2"/>
    <col width="30" customWidth="1" style="3" min="3" max="3"/>
    <col width="26" customWidth="1" style="3" min="4" max="5"/>
    <col width="18" customWidth="1" style="3" min="6" max="6"/>
    <col width="26" customWidth="1" style="3" min="7" max="7"/>
    <col width="8" customWidth="1" style="3" min="8" max="9"/>
    <col width="9" customWidth="1" style="3" min="10" max="10"/>
    <col width="30" customWidth="1" style="3" min="11" max="11"/>
    <col width="26" customWidth="1" style="3" min="12" max="12"/>
    <col width="16" customWidth="1" style="3" min="13" max="13"/>
  </cols>
  <sheetData>
    <row r="1" ht="15" customHeight="1" s="4">
      <c r="A1" s="5" t="inlineStr">
        <is>
          <t>Ref(s)</t>
        </is>
      </c>
      <c r="B1" s="5" t="inlineStr">
        <is>
          <t>Qty</t>
        </is>
      </c>
      <c r="C1" s="5" t="inlineStr">
        <is>
          <t>Function</t>
        </is>
      </c>
      <c r="D1" s="5" t="inlineStr">
        <is>
          <t>Value</t>
        </is>
      </c>
      <c r="E1" s="5" t="inlineStr">
        <is>
          <t>Package / Footprint</t>
        </is>
      </c>
      <c r="F1" s="5" t="inlineStr">
        <is>
          <t>Mfr</t>
        </is>
      </c>
      <c r="G1" s="5" t="inlineStr">
        <is>
          <t>MPN (orderable)</t>
        </is>
      </c>
      <c r="H1" s="5" t="inlineStr">
        <is>
          <t>≈$/ea*</t>
        </is>
      </c>
      <c r="I1" s="5" t="inlineStr">
        <is>
          <t>Ext $</t>
        </is>
      </c>
      <c r="J1" s="5" t="inlineStr">
        <is>
          <t>Status</t>
        </is>
      </c>
      <c r="K1" s="5" t="inlineStr">
        <is>
          <t>Sourcing note / flag</t>
        </is>
      </c>
      <c r="L1" s="5" t="inlineStr">
        <is>
          <t>Datasheet (repo)</t>
        </is>
      </c>
      <c r="M1" s="5" t="inlineStr">
        <is>
          <t>Distributor P/N (DigiKey unless noted)</t>
        </is>
      </c>
    </row>
    <row r="2" ht="15" customHeight="1" s="4">
      <c r="A2" s="3" t="inlineStr">
        <is>
          <t>U1</t>
        </is>
      </c>
      <c r="B2" s="3" t="n">
        <v>1</v>
      </c>
      <c r="C2" s="3" t="inlineStr">
        <is>
          <t>MCU — 8-bit AVR; PWM, I²C, charge/sleep logic</t>
        </is>
      </c>
      <c r="D2" s="3" t="inlineStr">
        <is>
          <t>AVR64DD28, 64 KB, 24 MHz</t>
        </is>
      </c>
      <c r="E2" s="3" t="inlineStr">
        <is>
          <t>VQFN-28 (4×4×1.0 mm, w/ EP)</t>
        </is>
      </c>
      <c r="F2" s="3" t="inlineStr">
        <is>
          <t>Microchip</t>
        </is>
      </c>
      <c r="G2" s="3" t="inlineStr">
        <is>
          <t>AVR64DD28-I/STX</t>
        </is>
      </c>
      <c r="H2" s="3" t="n">
        <v>1.52</v>
      </c>
      <c r="I2" s="3" t="n">
        <v>1.52</v>
      </c>
      <c r="J2" s="3" t="inlineStr">
        <is>
          <t>LOCKED</t>
        </is>
      </c>
      <c r="K2" s="3" t="inlineStr">
        <is>
          <t>VQFN land has an exposed pad → EP to GND. /STX confirmed = VQFN-28 (4×4).</t>
        </is>
      </c>
      <c r="L2" s="3" t="inlineStr">
        <is>
          <t>U1  AVR64DD28-I-STX  $1.17.pdf</t>
        </is>
      </c>
      <c r="M2" s="3" t="inlineStr">
        <is>
          <t>(by MPN)</t>
        </is>
      </c>
    </row>
    <row r="3" ht="15" customHeight="1" s="4">
      <c r="A3" s="3" t="inlineStr">
        <is>
          <t>D2–D5</t>
        </is>
      </c>
      <c r="B3" s="3" t="n">
        <v>4</v>
      </c>
      <c r="C3" s="3" t="inlineStr">
        <is>
          <t>Glow LEDs — reverse-mount; emit through the bare-FR4 'DRH' window</t>
        </is>
      </c>
      <c r="D3" s="3" t="inlineStr">
        <is>
          <t>Amber 617 nm, Vf≈2.25 V</t>
        </is>
      </c>
      <c r="E3" s="3" t="inlineStr">
        <is>
          <t>SMD, 3.4x1.9 mm</t>
        </is>
      </c>
      <c r="F3" s="3" t="inlineStr">
        <is>
          <t>ams OSRAM</t>
        </is>
      </c>
      <c r="G3" s="3" t="inlineStr">
        <is>
          <t>LA P47F-V2BB-24-3B5A-30-R18-Z</t>
        </is>
      </c>
      <c r="H3" s="3" t="n">
        <v>0.273</v>
      </c>
      <c r="I3" s="3" t="n">
        <v>1.092</v>
      </c>
      <c r="J3" s="3" t="inlineStr">
        <is>
          <t>LOCKED</t>
        </is>
      </c>
      <c r="K3" s="3" t="inlineStr">
        <is>
          <t>Reverse-mount; light path runs through the all-layer keepout window.</t>
        </is>
      </c>
      <c r="L3" s="3" t="inlineStr">
        <is>
          <t>D2-D5  LA P47F-V2BB-24-3B5A-30-R18-Z  $0.43.pdf</t>
        </is>
      </c>
      <c r="M3" s="3" t="inlineStr">
        <is>
          <t>475-LAP47F-V2BB-24-3B5A-30-R18-ZCT-ND</t>
        </is>
      </c>
    </row>
    <row r="4" ht="15" customHeight="1" s="4">
      <c r="A4" s="3" t="inlineStr">
        <is>
          <t>R1–R4</t>
        </is>
      </c>
      <c r="B4" s="3" t="n">
        <v>4</v>
      </c>
      <c r="C4" s="3" t="inlineStr">
        <is>
          <t>LED ballast — one per LED; sets per-LED current (low-side PWM)</t>
        </is>
      </c>
      <c r="D4" s="3" t="inlineStr">
        <is>
          <t>150 Ω, ±1%</t>
        </is>
      </c>
      <c r="E4" s="3" t="inlineStr">
        <is>
          <t>0402</t>
        </is>
      </c>
      <c r="F4" s="3" t="inlineStr">
        <is>
          <t>Yageo</t>
        </is>
      </c>
      <c r="G4" s="3" t="inlineStr">
        <is>
          <t>RC0402FR-07150RL</t>
        </is>
      </c>
      <c r="H4" s="3" t="n">
        <v>0.1</v>
      </c>
      <c r="I4" s="3" t="n">
        <v>0.4</v>
      </c>
      <c r="J4" s="3" t="inlineStr">
        <is>
          <t>SIZED</t>
        </is>
      </c>
      <c r="K4" s="3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</t>
        </is>
      </c>
      <c r="L4" s="3" t="inlineStr">
        <is>
          <t>—</t>
        </is>
      </c>
      <c r="M4" s="3" t="inlineStr">
        <is>
          <t>(by MPN)</t>
        </is>
      </c>
    </row>
    <row r="5" ht="15" customHeight="1" s="4">
      <c r="A5" s="3" t="inlineStr">
        <is>
          <t>R12</t>
        </is>
      </c>
      <c r="B5" s="3" t="n">
        <v>1</v>
      </c>
      <c r="C5" s="3" t="inlineStr">
        <is>
          <t>TINY-mode ballast — dims all LEDs via SW2 'TINY' for long-runtime glow</t>
        </is>
      </c>
      <c r="D5" s="3" t="inlineStr">
        <is>
          <t>220 Ω, ±1%</t>
        </is>
      </c>
      <c r="E5" s="3" t="inlineStr">
        <is>
          <t>0402</t>
        </is>
      </c>
      <c r="F5" s="3" t="inlineStr">
        <is>
          <t>Yageo</t>
        </is>
      </c>
      <c r="G5" s="3" t="inlineStr">
        <is>
          <t>RC0402FR-07220RL</t>
        </is>
      </c>
      <c r="J5" s="3" t="inlineStr">
        <is>
          <t>LOCKED</t>
        </is>
      </c>
      <c r="K5" s="3" t="inlineStr">
        <is>
          <t>Sets the SW2 TINY dim level; tunable. [v3.0: 0402 to match board land; price TBC]</t>
        </is>
      </c>
      <c r="L5" s="3" t="inlineStr">
        <is>
          <t>—</t>
        </is>
      </c>
      <c r="M5" s="3" t="inlineStr">
        <is>
          <t>(by MPN)</t>
        </is>
      </c>
    </row>
    <row r="6" ht="15" customHeight="1" s="4">
      <c r="A6" s="3" t="inlineStr">
        <is>
          <t>R5, R6</t>
        </is>
      </c>
      <c r="B6" s="3" t="n">
        <v>2</v>
      </c>
      <c r="C6" s="3" t="inlineStr">
        <is>
          <t>VSENSE divider — taps the solar input (VIN÷2) into PD2</t>
        </is>
      </c>
      <c r="D6" s="3" t="inlineStr">
        <is>
          <t>1 MΩ, ±1%</t>
        </is>
      </c>
      <c r="E6" s="3" t="inlineStr">
        <is>
          <t>0402</t>
        </is>
      </c>
      <c r="F6" s="3" t="inlineStr">
        <is>
          <t>Yageo</t>
        </is>
      </c>
      <c r="G6" s="3" t="inlineStr">
        <is>
          <t>RC0402FR-071ML</t>
        </is>
      </c>
      <c r="J6" s="3" t="inlineStr">
        <is>
          <t>LOCKED</t>
        </is>
      </c>
      <c r="K6" s="3" t="inlineStr">
        <is>
          <t>R5=R6 → VSENSE = VIN/2 (tracks light, ~0 V dark). Feeds ADC + the AC0 wake-on-light comparator. [v3.0: 0402 to match board land; price TBC]</t>
        </is>
      </c>
      <c r="L6" s="3" t="inlineStr">
        <is>
          <t>—</t>
        </is>
      </c>
      <c r="M6" s="3" t="inlineStr">
        <is>
          <t>(by MPN)</t>
        </is>
      </c>
    </row>
    <row r="7" ht="15" customHeight="1" s="4">
      <c r="A7" s="3" t="inlineStr">
        <is>
          <t>C5</t>
        </is>
      </c>
      <c r="B7" s="3" t="n">
        <v>1</v>
      </c>
      <c r="C7" s="3" t="inlineStr">
        <is>
          <t>VSENSE filter cap</t>
        </is>
      </c>
      <c r="D7" s="3" t="inlineStr">
        <is>
          <t>100 nF, X7R, 16 V</t>
        </is>
      </c>
      <c r="E7" s="3" t="inlineStr">
        <is>
          <t>0402</t>
        </is>
      </c>
      <c r="F7" s="3" t="inlineStr">
        <is>
          <t>Murata</t>
        </is>
      </c>
      <c r="G7" s="3" t="inlineStr">
        <is>
          <t>GRM155R71C104KA88D</t>
        </is>
      </c>
      <c r="J7" s="3" t="inlineStr">
        <is>
          <t>LOCKED</t>
        </is>
      </c>
      <c r="K7" s="3" t="inlineStr">
        <is>
          <t>RC filter on the VSENSE node. [v3.0: 0402 to match board land; price TBC]</t>
        </is>
      </c>
      <c r="L7" s="3" t="inlineStr">
        <is>
          <t>(Murata GRM155 family)</t>
        </is>
      </c>
      <c r="M7" s="3" t="inlineStr">
        <is>
          <t>(by MPN)</t>
        </is>
      </c>
    </row>
    <row r="8" ht="15" customHeight="1" s="4">
      <c r="A8" s="3" t="inlineStr">
        <is>
          <t>U3</t>
        </is>
      </c>
      <c r="B8" s="3" t="n">
        <v>1</v>
      </c>
      <c r="C8" s="3" t="inlineStr">
        <is>
          <t>3-axis accelerometer — tap/double-tap wake; INT1/INT2 → PF1/PF0</t>
        </is>
      </c>
      <c r="D8" s="3" t="inlineStr">
        <is>
          <t>I²C 0x1D, ±2–8 g</t>
        </is>
      </c>
      <c r="E8" s="3" t="inlineStr">
        <is>
          <t>LGA-12 CC-12-4 (2.2×2.3×0.87 mm)</t>
        </is>
      </c>
      <c r="F8" s="3" t="inlineStr">
        <is>
          <t>Analog Devices</t>
        </is>
      </c>
      <c r="G8" s="3" t="inlineStr">
        <is>
          <t>ADXL367BCCZ-RL7</t>
        </is>
      </c>
      <c r="H8" s="3" t="n">
        <v>7.5</v>
      </c>
      <c r="I8" s="3" t="n">
        <v>7.5</v>
      </c>
      <c r="J8" s="3" t="inlineStr">
        <is>
          <t>LOCKED</t>
        </is>
      </c>
      <c r="K8" s="3" t="inlineStr">
        <is>
          <t>SCLK→GND (I²C); ASEL (pin 3)→GND ⇒ addr 0x1D. FOOTPRINT = placeholder ST land re-netted by pin #; swap ADI CC-12-4 land before fab.</t>
        </is>
      </c>
      <c r="L8" s="3" t="inlineStr">
        <is>
          <t>datasheets/U3  ADXL367BCCZ-RL7  $7.50.pdf</t>
        </is>
      </c>
      <c r="M8" s="3" t="inlineStr">
        <is>
          <t>(by MPN)</t>
        </is>
      </c>
    </row>
    <row r="9" ht="15" customHeight="1" s="4">
      <c r="A9" s="3" t="inlineStr">
        <is>
          <t>R10, R11</t>
        </is>
      </c>
      <c r="B9" s="3" t="n">
        <v>2</v>
      </c>
      <c r="C9" s="3" t="inlineStr">
        <is>
          <t>I²C pull-ups (TWI0 host on PC2/PC3) → VS</t>
        </is>
      </c>
      <c r="D9" s="3" t="inlineStr">
        <is>
          <t>4.7 kΩ, ±1%</t>
        </is>
      </c>
      <c r="E9" s="3" t="inlineStr">
        <is>
          <t>0402</t>
        </is>
      </c>
      <c r="F9" s="3" t="inlineStr">
        <is>
          <t>Yageo</t>
        </is>
      </c>
      <c r="G9" s="3" t="inlineStr">
        <is>
          <t>RC0402FR-074K7L</t>
        </is>
      </c>
      <c r="J9" s="3" t="inlineStr">
        <is>
          <t>LOCKED</t>
        </is>
      </c>
      <c r="K9" s="3" t="inlineStr">
        <is>
          <t>Required — open-drain TWI bus. Firmware must set TWIROUTEA = ALT2. [v3.0: 0402 to match board land; price TBC]</t>
        </is>
      </c>
      <c r="L9" s="3" t="inlineStr">
        <is>
          <t>—</t>
        </is>
      </c>
      <c r="M9" s="3" t="inlineStr">
        <is>
          <t>(by MPN)</t>
        </is>
      </c>
    </row>
    <row r="10" ht="15" customHeight="1" s="4">
      <c r="A10" s="3" t="inlineStr">
        <is>
          <t>C1</t>
        </is>
      </c>
      <c r="B10" s="3" t="n">
        <v>1</v>
      </c>
      <c r="C10" s="3" t="inlineStr">
        <is>
          <t>MCU decoupling (VDD)</t>
        </is>
      </c>
      <c r="D10" s="3" t="inlineStr">
        <is>
          <t>100 nF, X7R, 16 V</t>
        </is>
      </c>
      <c r="E10" s="3" t="inlineStr">
        <is>
          <t>0402</t>
        </is>
      </c>
      <c r="F10" s="3" t="inlineStr">
        <is>
          <t>Murata</t>
        </is>
      </c>
      <c r="G10" s="3" t="inlineStr">
        <is>
          <t>GRM155R71C104KA88D</t>
        </is>
      </c>
      <c r="J10" s="3" t="inlineStr">
        <is>
          <t>LOCKED</t>
        </is>
      </c>
      <c r="K10" s="3" t="inlineStr">
        <is>
          <t xml:space="preserve"> [v3.0: 0402 to match board land; price TBC]</t>
        </is>
      </c>
      <c r="L10" s="3" t="inlineStr">
        <is>
          <t>(Murata GRM155 family)</t>
        </is>
      </c>
      <c r="M10" s="3" t="inlineStr">
        <is>
          <t>(by MPN)</t>
        </is>
      </c>
    </row>
    <row r="11" ht="15" customHeight="1" s="4">
      <c r="A11" s="3" t="inlineStr">
        <is>
          <t>C3</t>
        </is>
      </c>
      <c r="B11" s="3" t="n">
        <v>1</v>
      </c>
      <c r="C11" s="3" t="inlineStr">
        <is>
          <t>Decoupling — VDDIO2 / MCU</t>
        </is>
      </c>
      <c r="D11" s="3" t="inlineStr">
        <is>
          <t>100 nF, X7R, 16 V</t>
        </is>
      </c>
      <c r="E11" s="3" t="inlineStr">
        <is>
          <t>0402</t>
        </is>
      </c>
      <c r="F11" s="3" t="inlineStr">
        <is>
          <t>Murata</t>
        </is>
      </c>
      <c r="G11" s="3" t="inlineStr">
        <is>
          <t>GRM155R71C104KA88D</t>
        </is>
      </c>
      <c r="J11" s="3" t="inlineStr">
        <is>
          <t>LOCKED</t>
        </is>
      </c>
      <c r="K11" s="3" t="inlineStr">
        <is>
          <t xml:space="preserve"> [v3.0: 0402 to match board land; price TBC]</t>
        </is>
      </c>
      <c r="L11" s="3" t="inlineStr">
        <is>
          <t>(Murata GRM155 family)</t>
        </is>
      </c>
      <c r="M11" s="3" t="inlineStr">
        <is>
          <t>(by MPN)</t>
        </is>
      </c>
    </row>
    <row r="12" ht="15" customHeight="1" s="4">
      <c r="A12" s="3" t="inlineStr">
        <is>
          <t>C4</t>
        </is>
      </c>
      <c r="B12" s="3" t="n">
        <v>1</v>
      </c>
      <c r="C12" s="3" t="inlineStr">
        <is>
          <t>VS-rail bulk decoupling</t>
        </is>
      </c>
      <c r="D12" s="3" t="inlineStr">
        <is>
          <t>10 µF, X5R, 10 V</t>
        </is>
      </c>
      <c r="E12" s="3" t="inlineStr">
        <is>
          <t>0603</t>
        </is>
      </c>
      <c r="F12" s="3" t="inlineStr">
        <is>
          <t>Murata</t>
        </is>
      </c>
      <c r="G12" s="3" t="inlineStr">
        <is>
          <t>GRM188R61A106KE69D</t>
        </is>
      </c>
      <c r="J12" s="3" t="inlineStr">
        <is>
          <t>LAND REWORK</t>
        </is>
      </c>
      <c r="K12" s="3" t="inlineStr">
        <is>
          <t>Bumped 4.7uF 0402 -&gt; 10uF 10V 0603 for more effective VS bulk (stiffer rail under glow / NFC-inrush / accel transients). 0603 land - PCB rework.</t>
        </is>
      </c>
      <c r="L12" s="3" t="inlineStr">
        <is>
          <t>(Murata GRM155 family)</t>
        </is>
      </c>
      <c r="M12" s="3" t="inlineStr">
        <is>
          <t>GRM188R61A106KE69D-ND (format-derived - confirm at cart)</t>
        </is>
      </c>
    </row>
    <row r="13" ht="15" customHeight="1" s="4">
      <c r="A13" s="3" t="inlineStr">
        <is>
          <t>C6</t>
        </is>
      </c>
      <c r="B13" s="3" t="n">
        <v>1</v>
      </c>
      <c r="C13" s="3" t="inlineStr">
        <is>
          <t>Accelerometer decoupling</t>
        </is>
      </c>
      <c r="D13" s="3" t="inlineStr">
        <is>
          <t>100 nF, X7R, 16 V</t>
        </is>
      </c>
      <c r="E13" s="3" t="inlineStr">
        <is>
          <t>0402</t>
        </is>
      </c>
      <c r="F13" s="3" t="inlineStr">
        <is>
          <t>Murata</t>
        </is>
      </c>
      <c r="G13" s="3" t="inlineStr">
        <is>
          <t>GRM155R71C104KA88D</t>
        </is>
      </c>
      <c r="J13" s="3" t="inlineStr">
        <is>
          <t>LOCKED</t>
        </is>
      </c>
      <c r="K13" s="3" t="inlineStr">
        <is>
          <t xml:space="preserve"> [v3.0: 0402 to match board land; price TBC]</t>
        </is>
      </c>
      <c r="L13" s="3" t="inlineStr">
        <is>
          <t>(Murata GRM155 family)</t>
        </is>
      </c>
      <c r="M13" s="3" t="inlineStr">
        <is>
          <t>(by MPN)</t>
        </is>
      </c>
    </row>
    <row r="14" ht="15" customHeight="1" s="4">
      <c r="A14" s="3" t="inlineStr">
        <is>
          <t>C11</t>
        </is>
      </c>
      <c r="B14" s="3" t="n">
        <v>1</v>
      </c>
      <c r="C14" s="3" t="inlineStr">
        <is>
          <t>Accelerometer VREG_OUT decoupling (mandatory)</t>
        </is>
      </c>
      <c r="D14" s="3" t="inlineStr">
        <is>
          <t>0.2 µF, X7R, 16 V</t>
        </is>
      </c>
      <c r="E14" s="3" t="inlineStr">
        <is>
          <t>0402</t>
        </is>
      </c>
      <c r="F14" s="3" t="inlineStr">
        <is>
          <t>Murata</t>
        </is>
      </c>
      <c r="G14" s="3" t="inlineStr">
        <is>
          <t>GRM155R71C224KA12D</t>
        </is>
      </c>
      <c r="J14" s="3" t="inlineStr">
        <is>
          <t>LOCKED</t>
        </is>
      </c>
      <c r="K14" s="3" t="inlineStr">
        <is>
          <t>ADXL367 pin 9 VREG_OUT1 → GND. Datasheet-mandated 0.2 µF; 0.22 µF nearest std.</t>
        </is>
      </c>
      <c r="L14" s="3" t="inlineStr">
        <is>
          <t>(Murata GRM155 family)</t>
        </is>
      </c>
      <c r="M14" s="3" t="inlineStr">
        <is>
          <t>(by MPN)</t>
        </is>
      </c>
    </row>
    <row r="15" ht="15" customHeight="1" s="4">
      <c r="A15" s="3" t="inlineStr">
        <is>
          <t>C12</t>
        </is>
      </c>
      <c r="B15" s="3" t="n">
        <v>1</v>
      </c>
      <c r="C15" s="3" t="inlineStr">
        <is>
          <t>Accelerometer VDDIO decoupling</t>
        </is>
      </c>
      <c r="D15" s="3" t="inlineStr">
        <is>
          <t>100 nF, X7R, 16 V</t>
        </is>
      </c>
      <c r="E15" s="3" t="inlineStr">
        <is>
          <t>0402</t>
        </is>
      </c>
      <c r="F15" s="3" t="inlineStr">
        <is>
          <t>Murata</t>
        </is>
      </c>
      <c r="G15" s="3" t="inlineStr">
        <is>
          <t>GRM155R71C104KA88D</t>
        </is>
      </c>
      <c r="J15" s="3" t="inlineStr">
        <is>
          <t>LOCKED</t>
        </is>
      </c>
      <c r="K15" s="3" t="inlineStr">
        <is>
          <t>ADXL367 pin 12 VDDIO → GND.</t>
        </is>
      </c>
      <c r="L15" s="3" t="inlineStr">
        <is>
          <t>(Murata GRM155 family)</t>
        </is>
      </c>
      <c r="M15" s="3" t="inlineStr">
        <is>
          <t>(by MPN)</t>
        </is>
      </c>
    </row>
    <row r="16" ht="15" customHeight="1" s="4">
      <c r="A16" s="3" t="inlineStr">
        <is>
          <t>C7</t>
        </is>
      </c>
      <c r="B16" s="3" t="n">
        <v>1</v>
      </c>
      <c r="C16" s="3" t="inlineStr">
        <is>
          <t>Clamp local decoupling</t>
        </is>
      </c>
      <c r="D16" s="3" t="inlineStr">
        <is>
          <t>100 nF, X7R, 16 V</t>
        </is>
      </c>
      <c r="E16" s="3" t="inlineStr">
        <is>
          <t>0402</t>
        </is>
      </c>
      <c r="F16" s="3" t="inlineStr">
        <is>
          <t>Murata</t>
        </is>
      </c>
      <c r="G16" s="3" t="inlineStr">
        <is>
          <t>GRM155R71C104KA88D</t>
        </is>
      </c>
      <c r="J16" s="3" t="inlineStr">
        <is>
          <t>LOCKED</t>
        </is>
      </c>
      <c r="K16" s="3" t="inlineStr">
        <is>
          <t xml:space="preserve"> [v3.0: 0402 to match board land; price TBC]</t>
        </is>
      </c>
      <c r="L16" s="3" t="inlineStr">
        <is>
          <t>(Murata GRM155 family)</t>
        </is>
      </c>
      <c r="M16" s="3" t="inlineStr">
        <is>
          <t>(by MPN)</t>
        </is>
      </c>
    </row>
    <row r="17" ht="15" customHeight="1" s="4">
      <c r="A17" s="3" t="inlineStr">
        <is>
          <t>SJ1</t>
        </is>
      </c>
      <c r="B17" s="3" t="n">
        <v>1</v>
      </c>
      <c r="C17" s="3" t="inlineStr">
        <is>
          <t>VDDIO2 tie — bonds VDDIO2 to VS (MVIO unused)</t>
        </is>
      </c>
      <c r="D17" s="3" t="inlineStr">
        <is>
          <t>0 Ω jumper</t>
        </is>
      </c>
      <c r="E17" s="3" t="inlineStr">
        <is>
          <t>0805</t>
        </is>
      </c>
      <c r="F17" s="3" t="inlineStr">
        <is>
          <t>Yageo</t>
        </is>
      </c>
      <c r="G17" s="3" t="inlineStr">
        <is>
          <t>RC0805JR-070RL</t>
        </is>
      </c>
      <c r="H17" s="3" t="n">
        <v>0.05</v>
      </c>
      <c r="I17" s="3" t="n">
        <v>0.05</v>
      </c>
      <c r="J17" s="3" t="inlineStr">
        <is>
          <t>LOCKED</t>
        </is>
      </c>
      <c r="L17" s="3" t="inlineStr">
        <is>
          <t>—</t>
        </is>
      </c>
      <c r="M17" s="3" t="inlineStr">
        <is>
          <t>(by MPN)</t>
        </is>
      </c>
    </row>
    <row r="18" ht="15" customHeight="1" s="4">
      <c r="A18" s="3" t="inlineStr">
        <is>
          <t>U5</t>
        </is>
      </c>
      <c r="B18" s="3" t="n">
        <v>1</v>
      </c>
      <c r="C18" s="3" t="inlineStr">
        <is>
          <t>NFC tag — NTAG I²C plus 2K; phone reads/writes EEPROM, FD signals field to MCU</t>
        </is>
      </c>
      <c r="D18" s="3" t="inlineStr">
        <is>
          <t>NTAG I²C plus, 2 KB, I²C 0x55</t>
        </is>
      </c>
      <c r="E18" s="3" t="inlineStr">
        <is>
          <t>XQFN8 (SOT902-3, 1.6×1.6×0.5 mm)</t>
        </is>
      </c>
      <c r="F18" s="3" t="inlineStr">
        <is>
          <t>NXP</t>
        </is>
      </c>
      <c r="G18" s="3" t="inlineStr">
        <is>
          <t>NT3H2211W0FHKH</t>
        </is>
      </c>
      <c r="H18" s="3" t="n">
        <v>0.75</v>
      </c>
      <c r="I18" s="3" t="n">
        <v>0.75</v>
      </c>
      <c r="J18" s="3" t="inlineStr">
        <is>
          <t>LOCKED</t>
        </is>
      </c>
      <c r="K18" s="3" t="inlineStr">
        <is>
          <t>v2.2 NFC addition. XQFN8 = SOT902-3 (datasheet Table 1). I²C 0x55 (no clash w/ accel 0x1D). VCC→VS; VOUT pin 7 unconnected. Confirm live price.</t>
        </is>
      </c>
      <c r="L18" s="3" t="inlineStr">
        <is>
          <t>U5  NT3H2211W0FHKH  $1.38.pdf</t>
        </is>
      </c>
      <c r="M18" s="3" t="inlineStr">
        <is>
          <t>(by MPN)</t>
        </is>
      </c>
    </row>
    <row r="19" ht="15" customHeight="1" s="4">
      <c r="A19" s="3" t="inlineStr">
        <is>
          <t>C8</t>
        </is>
      </c>
      <c r="B19" s="3" t="n">
        <v>1</v>
      </c>
      <c r="C19" s="3" t="inlineStr">
        <is>
          <t>NFC tag (U5) VCC decoupling</t>
        </is>
      </c>
      <c r="D19" s="3" t="inlineStr">
        <is>
          <t>100 nF, X7R, 16 V</t>
        </is>
      </c>
      <c r="E19" s="3" t="inlineStr">
        <is>
          <t>0402</t>
        </is>
      </c>
      <c r="F19" s="3" t="inlineStr">
        <is>
          <t>Murata</t>
        </is>
      </c>
      <c r="G19" s="3" t="inlineStr">
        <is>
          <t>GRM155R71C104KA88D</t>
        </is>
      </c>
      <c r="J19" s="3" t="inlineStr">
        <is>
          <t>LOCKED</t>
        </is>
      </c>
      <c r="K19" s="3" t="inlineStr">
        <is>
          <t>v2.2 NFC addition. Same part as C1/C2/C3/C6/C7. [v3.0: 0402 to match board land; price TBC]</t>
        </is>
      </c>
      <c r="L19" s="3" t="inlineStr">
        <is>
          <t>(Murata GRM155 family)</t>
        </is>
      </c>
      <c r="M19" s="3" t="inlineStr">
        <is>
          <t>(by MPN)</t>
        </is>
      </c>
    </row>
    <row r="20" ht="15" customHeight="1" s="4">
      <c r="A20" s="3" t="inlineStr">
        <is>
          <t>C13</t>
        </is>
      </c>
      <c r="B20" s="3" t="n">
        <v>1</v>
      </c>
      <c r="C20" s="3" t="inlineStr">
        <is>
          <t>LED-anode bulk — supplies the glow-PWM transient locally, keeps it off the shared VS rail (MCU/accel)</t>
        </is>
      </c>
      <c r="D20" s="3" t="inlineStr">
        <is>
          <t>10 µF, X5R, 10 V</t>
        </is>
      </c>
      <c r="E20" s="3" t="inlineStr">
        <is>
          <t>0603</t>
        </is>
      </c>
      <c r="F20" s="3" t="inlineStr">
        <is>
          <t>Murata</t>
        </is>
      </c>
      <c r="G20" s="3" t="inlineStr">
        <is>
          <t>GRM188R61A106KE69D</t>
        </is>
      </c>
      <c r="J20" s="3" t="inlineStr">
        <is>
          <t>LAND REWORK</t>
        </is>
      </c>
      <c r="K20" s="3" t="inlineStr">
        <is>
          <t>Bumped 4.7uF 0402 -&gt; 10uF 10V 0603; keeps the glow-PWM transient off the shared VS rail. 0603 land - PCB rework.</t>
        </is>
      </c>
      <c r="M20" s="3" t="inlineStr">
        <is>
          <t>GRM188R61A106KE69D-ND (format-derived - confirm at cart)</t>
        </is>
      </c>
    </row>
    <row r="21" ht="15" customHeight="1" s="4">
      <c r="A21" s="3" t="inlineStr">
        <is>
          <t>U6</t>
        </is>
      </c>
      <c r="B21" s="3" t="n">
        <v>1</v>
      </c>
      <c r="C21" s="3" t="inlineStr">
        <is>
          <t>NFC VNFC load switch — power-gates U5 VCC from PA7 (NFC_EN)</t>
        </is>
      </c>
      <c r="D21" s="3" t="inlineStr">
        <is>
          <t>High-side load switch</t>
        </is>
      </c>
      <c r="E21" s="3" t="inlineStr">
        <is>
          <t>SOT-23-6 (DBV)</t>
        </is>
      </c>
      <c r="F21" s="3" t="inlineStr">
        <is>
          <t>Texas Instruments</t>
        </is>
      </c>
      <c r="G21" s="3" t="inlineStr">
        <is>
          <t>TPS22918DBVR</t>
        </is>
      </c>
      <c r="H21" s="3" t="n">
        <v>0.55</v>
      </c>
      <c r="I21" s="3" t="n">
        <v>0.55</v>
      </c>
      <c r="J21" s="3" t="inlineStr">
        <is>
          <t>LOCKED</t>
        </is>
      </c>
      <c r="K21" s="3" t="inlineStr">
        <is>
          <t>v3.0 addition. VIN=VS, VOUT=VNFC, ON=NFC_EN, QOD strapped to VOUT (internal RPD ~25 ohm discharge), CT floating (sanctioned per DS). Pin map VERIFIED against TI SLVSD76C (TPS22918 Rev C, repo datasheets/U6  TPS22918DBVR  $0.55.pdf; the -Q1 doc SLVSCZ8B matches identically) 2026-07-02 -- check caught a real board defect (VIN/VOUT + GND/QOD transposed on the symbol); fixed on the board same day. $0.55 @ qty 1 (DigiKey, 2026-07-02). ISD 0.5 uA typ / 3.5 uA max standing draw on VS when off.</t>
        </is>
      </c>
      <c r="L21" s="3" t="inlineStr">
        <is>
          <t>datasheets/U6  TPS22918DBVR  $0.55.pdf</t>
        </is>
      </c>
      <c r="M21" s="3" t="inlineStr">
        <is>
          <t>(by MPN)</t>
        </is>
      </c>
    </row>
    <row r="22" ht="15" customHeight="1" s="4">
      <c r="A22" s="3" t="inlineStr">
        <is>
          <t>R14</t>
        </is>
      </c>
      <c r="B22" s="3" t="n">
        <v>1</v>
      </c>
      <c r="C22" s="3" t="inlineStr">
        <is>
          <t>NFC_EN pulldown — holds U6 OFF while PA7 tristates (UPDI / reset / brown-out)</t>
        </is>
      </c>
      <c r="D22" s="3" t="inlineStr">
        <is>
          <t>1 MΩ, ±1%</t>
        </is>
      </c>
      <c r="E22" s="3" t="inlineStr">
        <is>
          <t>0402</t>
        </is>
      </c>
      <c r="F22" s="3" t="inlineStr">
        <is>
          <t>Yageo</t>
        </is>
      </c>
      <c r="G22" s="3" t="inlineStr">
        <is>
          <t>RC0402FR-071ML</t>
        </is>
      </c>
      <c r="J22" s="3" t="inlineStr">
        <is>
          <t>LOCKED</t>
        </is>
      </c>
      <c r="K22" s="3" t="inlineStr">
        <is>
          <t>v3.0 addition, placed with the R14 board patch at (4.39, 29.4). Price TBC.</t>
        </is>
      </c>
      <c r="L22" s="3" t="inlineStr">
        <is>
          <t>—</t>
        </is>
      </c>
      <c r="M22" s="3" t="inlineStr">
        <is>
          <t>(by MPN)</t>
        </is>
      </c>
    </row>
    <row r="23" ht="15" customHeight="1" s="4">
      <c r="A23" s="3" t="inlineStr">
        <is>
          <t>U8</t>
        </is>
      </c>
      <c r="B23" s="3" t="n">
        <v>1</v>
      </c>
      <c r="C23" s="3" t="inlineStr">
        <is>
          <t>AEM10300 harvest PMIC (MPPT buck-boost)</t>
        </is>
      </c>
      <c r="D23" s="3" t="inlineStr">
        <is>
          <t>AEM10300</t>
        </is>
      </c>
      <c r="E23" s="3" t="inlineStr">
        <is>
          <t>QFN-28 4x4 (EP 2.30)</t>
        </is>
      </c>
      <c r="F23" s="3" t="inlineStr">
        <is>
          <t>e-peas</t>
        </is>
      </c>
      <c r="G23" s="3" t="inlineStr">
        <is>
          <t>10AEM10300C0000</t>
        </is>
      </c>
      <c r="J23" s="3" t="inlineStr">
        <is>
          <t>v4 NEW</t>
        </is>
      </c>
      <c r="K23" s="3" t="inlineStr">
        <is>
          <t>Specialty long-lead - order early. MOUSER only - the one non-DigiKey line (e-peas not a DigiKey vendor).</t>
        </is>
      </c>
      <c r="L23" s="3" t="inlineStr">
        <is>
          <t>aem10300.pdf</t>
        </is>
      </c>
      <c r="M23" s="3" t="inlineStr">
        <is>
          <t>MOUSER 10AEM10300C0000 (e-peas; not a DigiKey vendor)</t>
        </is>
      </c>
    </row>
    <row r="24" ht="15" customHeight="1" s="4">
      <c r="A24" s="3" t="inlineStr">
        <is>
          <t>U9</t>
        </is>
      </c>
      <c r="B24" s="3" t="n">
        <v>1</v>
      </c>
      <c r="C24" s="3" t="inlineStr">
        <is>
          <t>LDO -&gt; 3.3 V VS rail</t>
        </is>
      </c>
      <c r="D24" s="3" t="inlineStr">
        <is>
          <t>TPS7A0233</t>
        </is>
      </c>
      <c r="E24" s="3" t="inlineStr">
        <is>
          <t>SOT-23-5</t>
        </is>
      </c>
      <c r="F24" s="3" t="inlineStr">
        <is>
          <t>TI</t>
        </is>
      </c>
      <c r="G24" s="3" t="inlineStr">
        <is>
          <t>TPS7A0233PDBVR</t>
        </is>
      </c>
      <c r="J24" s="3" t="inlineStr">
        <is>
          <t>v4 NEW</t>
        </is>
      </c>
      <c r="K24" s="3" t="inlineStr">
        <is>
          <t>Verified active on DigiKey (product 12165099); SOT-23-5 nanopower LDO.</t>
        </is>
      </c>
      <c r="M24" s="3" t="inlineStr">
        <is>
          <t>296-TPS7A0233PDBVRCT-ND (DK 12165099, active; confirm at cart)</t>
        </is>
      </c>
    </row>
    <row r="25" ht="15" customHeight="1" s="4">
      <c r="A25" s="3" t="inlineStr">
        <is>
          <t>U7</t>
        </is>
      </c>
      <c r="B25" s="3" t="n">
        <v>1</v>
      </c>
      <c r="C25" s="3" t="inlineStr">
        <is>
          <t>FRAM 512 kbit I2C 0x50 (VNFC-gated)</t>
        </is>
      </c>
      <c r="D25" s="3" t="inlineStr">
        <is>
          <t>MB85RC512TY</t>
        </is>
      </c>
      <c r="E25" s="3" t="inlineStr">
        <is>
          <t>SOIC-8</t>
        </is>
      </c>
      <c r="F25" s="3" t="inlineStr">
        <is>
          <t>Fujitsu/RAMXEED</t>
        </is>
      </c>
      <c r="G25" s="3" t="inlineStr">
        <is>
          <t>MB85RC512TYPNF-GS-BCERE1</t>
        </is>
      </c>
      <c r="H25" s="3" t="n">
        <v>10.19</v>
      </c>
      <c r="I25" s="3" t="n">
        <v>10.19</v>
      </c>
      <c r="J25" s="3" t="inlineStr">
        <is>
          <t>v4 NEW</t>
        </is>
      </c>
      <c r="K25" s="3" t="inlineStr">
        <is>
          <t>AEC-Q100.</t>
        </is>
      </c>
      <c r="L25" s="3" t="inlineStr">
        <is>
          <t>U7  MB85RC512TYPNF-GS-BCERE1  $10.19.pdf</t>
        </is>
      </c>
      <c r="M25" s="3" t="inlineStr">
        <is>
          <t>865-MB85RC512TYPNF-GS-BCERE1TR-ND</t>
        </is>
      </c>
    </row>
    <row r="26" ht="15" customHeight="1" s="4">
      <c r="A26" s="3" t="inlineStr">
        <is>
          <t>L2</t>
        </is>
      </c>
      <c r="B26" s="3" t="n">
        <v>1</v>
      </c>
      <c r="C26" s="3" t="inlineStr">
        <is>
          <t>10 uH DCDC inductor</t>
        </is>
      </c>
      <c r="D26" s="3" t="inlineStr">
        <is>
          <t>10 uH</t>
        </is>
      </c>
      <c r="E26" s="3" t="inlineStr">
        <is>
          <t>2.5x2.0x1.0 mm (DFE252010); land grows past 0603</t>
        </is>
      </c>
      <c r="F26" s="3" t="inlineStr">
        <is>
          <t>Murata</t>
        </is>
      </c>
      <c r="G26" s="3" t="inlineStr">
        <is>
          <t>DFE252010F-100M</t>
        </is>
      </c>
      <c r="J26" s="3" t="inlineStr">
        <is>
          <t>v4 NEW - LAND REWORK</t>
        </is>
      </c>
      <c r="K26" s="3" t="inlineStr">
        <is>
          <t>AEM10300 datasheet Table 11 LDCDC = DFE252010F-100M (10 uH, 1.76 A, &gt;=1 A / &gt;=10 MHz). Land grows past 0603 - PCB rework pending.</t>
        </is>
      </c>
      <c r="M26" s="3" t="inlineStr">
        <is>
          <t>DFE252010F-100M (Murata; confirm DK P/N at cart)</t>
        </is>
      </c>
    </row>
    <row r="27" ht="15" customHeight="1" s="4">
      <c r="A27" s="3" t="inlineStr">
        <is>
          <t>FB1</t>
        </is>
      </c>
      <c r="B27" s="3" t="n">
        <v>1</v>
      </c>
      <c r="C27" s="3" t="inlineStr">
        <is>
          <t>Ferrite bead, STO island feed</t>
        </is>
      </c>
      <c r="D27" s="3" t="inlineStr">
        <is>
          <t>0603 bead</t>
        </is>
      </c>
      <c r="E27" s="3" t="inlineStr">
        <is>
          <t>0603</t>
        </is>
      </c>
      <c r="F27" s="3" t="inlineStr">
        <is>
          <t>Murata (rec.)</t>
        </is>
      </c>
      <c r="G27" s="3" t="inlineStr">
        <is>
          <t>BLM18PG221SN1D</t>
        </is>
      </c>
      <c r="J27" s="3" t="inlineStr">
        <is>
          <t>v4 NEW - VERIFY</t>
        </is>
      </c>
      <c r="K27" s="3" t="inlineStr">
        <is>
          <t>Generic 0603 bead recommended.</t>
        </is>
      </c>
      <c r="M27" s="3" t="inlineStr">
        <is>
          <t>BLM18PG221SN1D-ND (format-derived - confirm at cart)</t>
        </is>
      </c>
    </row>
    <row r="28" ht="15" customHeight="1" s="4">
      <c r="A28" s="3" t="inlineStr">
        <is>
          <t>C22</t>
        </is>
      </c>
      <c r="B28" s="3" t="n">
        <v>1</v>
      </c>
      <c r="C28" s="3" t="inlineStr">
        <is>
          <t>LDO input cap (STO side)</t>
        </is>
      </c>
      <c r="D28" s="3" t="inlineStr">
        <is>
          <t>1 uF, 0402</t>
        </is>
      </c>
      <c r="E28" s="3" t="inlineStr">
        <is>
          <t>0402</t>
        </is>
      </c>
      <c r="F28" s="3" t="inlineStr">
        <is>
          <t>Murata</t>
        </is>
      </c>
      <c r="G28" s="3" t="inlineStr">
        <is>
          <t>GRM155R61A105KE15D</t>
        </is>
      </c>
      <c r="J28" s="3" t="inlineStr">
        <is>
          <t>v4 NEW</t>
        </is>
      </c>
      <c r="K28" s="3" t="inlineStr">
        <is>
          <t>Reuses the project 1uF 0402 part.</t>
        </is>
      </c>
      <c r="M28" s="3" t="inlineStr">
        <is>
          <t>GRM155R61A105KE15D-ND (format-derived - confirm at cart)</t>
        </is>
      </c>
    </row>
    <row r="29" ht="15" customHeight="1" s="4">
      <c r="A29" s="3" t="inlineStr">
        <is>
          <t>C23</t>
        </is>
      </c>
      <c r="B29" s="3" t="n">
        <v>1</v>
      </c>
      <c r="C29" s="3" t="inlineStr">
        <is>
          <t>LDO output cap (VS rail) - stability</t>
        </is>
      </c>
      <c r="D29" s="3" t="inlineStr">
        <is>
          <t>2.2 µF, 10 V, 0402, X5R</t>
        </is>
      </c>
      <c r="E29" s="3" t="inlineStr">
        <is>
          <t>0402</t>
        </is>
      </c>
      <c r="F29" s="3" t="inlineStr">
        <is>
          <t>Murata</t>
        </is>
      </c>
      <c r="G29" s="3" t="inlineStr">
        <is>
          <t>GRM155R61A225KE11D</t>
        </is>
      </c>
      <c r="J29" s="3" t="inlineStr">
        <is>
          <t>v4 NEW</t>
        </is>
      </c>
      <c r="K29" s="3" t="inlineStr">
        <is>
          <t>Bumped 1uF -&gt; 2.2uF: TPS7A02 needs &gt;=0.5uF EFFECTIVE for stability; a 1uF 0402 worst-cases at that floor over bias/tol/temp/age. 2.2uF 0402 restores ~2x margin, no rework.</t>
        </is>
      </c>
      <c r="M29" s="3" t="inlineStr">
        <is>
          <t>GRM155R61A225KE11D-ND (format-derived - confirm at cart)</t>
        </is>
      </c>
    </row>
    <row r="30" ht="15" customHeight="1" s="4">
      <c r="A30" s="3" t="inlineStr">
        <is>
          <t>C24</t>
        </is>
      </c>
      <c r="B30" s="3" t="n">
        <v>1</v>
      </c>
      <c r="C30" s="3" t="inlineStr">
        <is>
          <t>STO-sense filter</t>
        </is>
      </c>
      <c r="D30" s="3" t="inlineStr">
        <is>
          <t>100 nF, 0402</t>
        </is>
      </c>
      <c r="E30" s="3" t="inlineStr">
        <is>
          <t>0402</t>
        </is>
      </c>
      <c r="F30" s="3" t="inlineStr">
        <is>
          <t>Murata</t>
        </is>
      </c>
      <c r="G30" s="3" t="inlineStr">
        <is>
          <t>GRM155R71C104KA88D</t>
        </is>
      </c>
      <c r="J30" s="3" t="inlineStr">
        <is>
          <t>v4 NEW</t>
        </is>
      </c>
      <c r="K30" s="3" t="inlineStr"/>
      <c r="M30" s="3" t="inlineStr">
        <is>
          <t>490-3261-1-ND</t>
        </is>
      </c>
    </row>
    <row r="31" ht="15" customHeight="1" s="4">
      <c r="A31" s="3" t="inlineStr">
        <is>
          <t>C25</t>
        </is>
      </c>
      <c r="B31" s="3" t="n">
        <v>1</v>
      </c>
      <c r="C31" s="3" t="inlineStr">
        <is>
          <t>AEM BUFSRC buffer</t>
        </is>
      </c>
      <c r="D31" s="3" t="inlineStr">
        <is>
          <t>22 uF, 10 V, 0603</t>
        </is>
      </c>
      <c r="E31" s="3" t="inlineStr">
        <is>
          <t>0603</t>
        </is>
      </c>
      <c r="F31" s="3" t="inlineStr">
        <is>
          <t>Murata</t>
        </is>
      </c>
      <c r="G31" s="3" t="inlineStr">
        <is>
          <t>GRM188R61A226ME15D</t>
        </is>
      </c>
      <c r="J31" s="3" t="inlineStr">
        <is>
          <t>v4 NEW</t>
        </is>
      </c>
      <c r="K31" s="3" t="inlineStr">
        <is>
          <t>AEM10300 datasheet Table 11 CSRC (10 V; was 6.3 V) - keeps capacitance at the SRC node near panel Voc ~4.15 V.</t>
        </is>
      </c>
      <c r="M31" s="3" t="inlineStr">
        <is>
          <t>GRM188R61A226ME15D-ND (format-derived - confirm at cart)</t>
        </is>
      </c>
    </row>
    <row r="32" ht="15" customHeight="1" s="4">
      <c r="A32" s="3" t="inlineStr">
        <is>
          <t>C26</t>
        </is>
      </c>
      <c r="B32" s="3" t="n">
        <v>1</v>
      </c>
      <c r="C32" s="3" t="inlineStr">
        <is>
          <t>AEM VINT buffer cap</t>
        </is>
      </c>
      <c r="D32" s="3" t="inlineStr">
        <is>
          <t>10 uF, 0402</t>
        </is>
      </c>
      <c r="E32" s="3" t="inlineStr">
        <is>
          <t>0402</t>
        </is>
      </c>
      <c r="F32" s="3" t="inlineStr">
        <is>
          <t>Murata (rec.)</t>
        </is>
      </c>
      <c r="G32" s="3" t="inlineStr">
        <is>
          <t>GRM155R60J106ME44D</t>
        </is>
      </c>
      <c r="J32" s="3" t="inlineStr">
        <is>
          <t>v4 NEW</t>
        </is>
      </c>
      <c r="K32" s="3" t="inlineStr">
        <is>
          <t>AEM CINT (datasheet Table 11: 10uF 6.3V 0402; ME44D is the current-production equivalent). VINT ~2.2V, so 6.3V rating is fine.</t>
        </is>
      </c>
      <c r="M32" s="3" t="inlineStr">
        <is>
          <t>GRM155R60J106ME44D-ND (format-derived - confirm at cart)</t>
        </is>
      </c>
    </row>
    <row r="33" ht="15" customHeight="1" s="4">
      <c r="A33" s="3" t="inlineStr">
        <is>
          <t>C27</t>
        </is>
      </c>
      <c r="B33" s="3" t="n">
        <v>1</v>
      </c>
      <c r="C33" s="3" t="inlineStr">
        <is>
          <t>STO local HF decoupling</t>
        </is>
      </c>
      <c r="D33" s="3" t="inlineStr">
        <is>
          <t>10 µF, 10 V, 0603, X5R</t>
        </is>
      </c>
      <c r="E33" s="3" t="inlineStr">
        <is>
          <t>0603</t>
        </is>
      </c>
      <c r="F33" s="3" t="inlineStr">
        <is>
          <t>Murata</t>
        </is>
      </c>
      <c r="G33" s="3" t="inlineStr">
        <is>
          <t>GRM188R61A106KE69D</t>
        </is>
      </c>
      <c r="J33" s="3" t="inlineStr">
        <is>
          <t>LAND REWORK</t>
        </is>
      </c>
      <c r="K33" s="3" t="inlineStr">
        <is>
          <t>Moved to 0603 to keep 10uF at 10V (per request; matches C25's approach). STO rides to 4.65V where a 6.3V 0402 was thin + heavily derated; 10V 0603 gives full margin and effective bulk. Shares the C4/C13 10uF 10V 0603 reel. Land grows from 0402 - PCB rework.</t>
        </is>
      </c>
      <c r="M33" s="3" t="inlineStr">
        <is>
          <t>GRM188R61A106KE69D-ND (format-derived - confirm at cart)</t>
        </is>
      </c>
    </row>
    <row r="34" ht="15" customHeight="1" s="4">
      <c r="A34" s="3" t="inlineStr">
        <is>
          <t>C28</t>
        </is>
      </c>
      <c r="B34" s="3" t="n">
        <v>1</v>
      </c>
      <c r="C34" s="3" t="inlineStr">
        <is>
          <t>FRAM VNFC decoupling</t>
        </is>
      </c>
      <c r="D34" s="3" t="inlineStr">
        <is>
          <t>100 nF, 0402</t>
        </is>
      </c>
      <c r="E34" s="3" t="inlineStr">
        <is>
          <t>0402</t>
        </is>
      </c>
      <c r="F34" s="3" t="inlineStr">
        <is>
          <t>Murata</t>
        </is>
      </c>
      <c r="G34" s="3" t="inlineStr">
        <is>
          <t>GRM155R71C104KA88D</t>
        </is>
      </c>
      <c r="J34" s="3" t="inlineStr">
        <is>
          <t>v4 NEW</t>
        </is>
      </c>
      <c r="K34" s="3" t="inlineStr"/>
      <c r="M34" s="3" t="inlineStr">
        <is>
          <t>490-3261-1-ND</t>
        </is>
      </c>
    </row>
    <row r="35" ht="15" customHeight="1" s="4">
      <c r="A35" s="3" t="inlineStr">
        <is>
          <t>R15</t>
        </is>
      </c>
      <c r="B35" s="3" t="n">
        <v>1</v>
      </c>
      <c r="C35" s="3" t="inlineStr">
        <is>
          <t>STO sense divider top</t>
        </is>
      </c>
      <c r="D35" s="3" t="inlineStr">
        <is>
          <t>2 M, 0402</t>
        </is>
      </c>
      <c r="E35" s="3" t="inlineStr">
        <is>
          <t>0402</t>
        </is>
      </c>
      <c r="F35" s="3" t="inlineStr">
        <is>
          <t>Yageo</t>
        </is>
      </c>
      <c r="G35" s="3" t="inlineStr">
        <is>
          <t>RC0402FR-072ML</t>
        </is>
      </c>
      <c r="J35" s="3" t="inlineStr">
        <is>
          <t>v4 NEW</t>
        </is>
      </c>
      <c r="K35" s="3" t="inlineStr"/>
      <c r="M35" s="3" t="inlineStr">
        <is>
          <t>RC0402FR-072ML-ND (format-derived - confirm at cart)</t>
        </is>
      </c>
    </row>
    <row r="36">
      <c r="A36" s="3" t="inlineStr">
        <is>
          <t>R16, R17</t>
        </is>
      </c>
      <c r="B36" s="3" t="n">
        <v>2</v>
      </c>
      <c r="C36" s="3" t="inlineStr">
        <is>
          <t>STO sense bottom + EN_STO_CH pull-up</t>
        </is>
      </c>
      <c r="D36" s="3" t="inlineStr">
        <is>
          <t>1 M, 0402</t>
        </is>
      </c>
      <c r="E36" s="3" t="inlineStr">
        <is>
          <t>0402</t>
        </is>
      </c>
      <c r="F36" s="3" t="inlineStr">
        <is>
          <t>Yageo</t>
        </is>
      </c>
      <c r="G36" s="3" t="inlineStr">
        <is>
          <t>RC0402FR-071ML</t>
        </is>
      </c>
      <c r="J36" s="3" t="inlineStr">
        <is>
          <t>v4 NEW</t>
        </is>
      </c>
      <c r="K36" s="3" t="inlineStr"/>
      <c r="M36" s="3" t="inlineStr">
        <is>
          <t>RC0402FR-071ML-ND (format-derived - confirm at cart)</t>
        </is>
      </c>
    </row>
    <row r="37">
      <c r="A37" s="3" t="inlineStr">
        <is>
          <t>Placed-parts subtotal (per board)</t>
        </is>
      </c>
      <c r="I37" s="3">
        <f>SUM(I2:I30)</f>
        <v/>
      </c>
    </row>
    <row r="39">
      <c r="A39" s="3" t="inlineStr">
        <is>
          <t>NOTE: PCBWay turnkey BOM — machine-placed, bottom side, 39 parts. Converted 0402 lines + U6/R14 have prices blanked pending quote.</t>
        </is>
      </c>
    </row>
    <row r="40">
      <c r="A40" s="3" t="inlineStr">
        <is>
          <t>Hand-soldered by customer, NOT on this BOM: SC1-SC4 (supercaps), PV1-PV2 (solar cells).</t>
        </is>
      </c>
    </row>
    <row r="41">
      <c r="A41" s="3" t="inlineStr">
        <is>
          <t>Not placed: SW2, SB1-SB4 (bridges), TC1 (Tag-Connect), J1/JP1/JP2 (headers), MH1-MH4, C9 (NFC trim, DNP).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2026-06-28T01:41:12Z</dcterms:created>
  <dcterms:modified xsi:type="dcterms:W3CDTF">2026-07-19T16:22:15Z</dcterms:modified>
  <cp:revision>0</cp:revision>
</cp:coreProperties>
</file>