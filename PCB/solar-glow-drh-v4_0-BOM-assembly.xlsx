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ADI CC-12-4 land fitted (KiCad ADXL367 CC-12-4_ADI); verified vs datasheet Fig 64 (2.11×2.21 mm envelope, 0.5 mm pitch).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10 µF, X5R, 10 V</t>
        </is>
      </c>
      <c r="E12" s="3" t="inlineStr">
        <is>
          <t>0603</t>
        </is>
      </c>
      <c r="F12" s="3" t="inlineStr">
        <is>
          <t>Murata</t>
        </is>
      </c>
      <c r="G12" s="3" t="inlineStr">
        <is>
          <t>GRM188R61A106KE69D</t>
        </is>
      </c>
      <c r="J12" s="3" t="inlineStr">
        <is>
          <t>LAND REWORK</t>
        </is>
      </c>
      <c r="K12" s="3" t="inlineStr">
        <is>
          <t>Bumped 4.7uF 0402 -&gt; 10uF 10V 0603 for more effective VS bulk (stiffer rail under glow / NFC-inrush / accel transients). 0603 land - PCB rework.</t>
        </is>
      </c>
      <c r="L12" s="3" t="inlineStr">
        <is>
          <t>(Murata GRM155 family)</t>
        </is>
      </c>
      <c r="M12" s="3" t="inlineStr">
        <is>
          <t>GRM188R61A106KE69D-ND (format-derived - confirm at cart)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Clamp local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10 µF, X5R, 10 V</t>
        </is>
      </c>
      <c r="E20" s="3" t="inlineStr">
        <is>
          <t>0603</t>
        </is>
      </c>
      <c r="F20" s="3" t="inlineStr">
        <is>
          <t>Murata</t>
        </is>
      </c>
      <c r="G20" s="3" t="inlineStr">
        <is>
          <t>GRM188R61A106KE69D</t>
        </is>
      </c>
      <c r="J20" s="3" t="inlineStr">
        <is>
          <t>LAND REWORK</t>
        </is>
      </c>
      <c r="K20" s="3" t="inlineStr">
        <is>
          <t>Bumped 4.7uF 0402 -&gt; 10uF 10V 0603; keeps the glow-PWM transient off the shared VS rail. 0603 land - PCB rework.</t>
        </is>
      </c>
      <c r="M20" s="3" t="inlineStr">
        <is>
          <t>GRM188R61A106KE69D-ND (format-derived - confirm at cart)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s="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s="3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s="3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1008/2520 (L_1008_2520Metric), 2.5x2.0 mm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v4 - ROUTE L2</t>
        </is>
      </c>
      <c r="K26" s="3" t="inlineStr">
        <is>
          <t>Murata DFE252010F-100M (10uH, 1.76A) per aem10300.pdf Table 11 / 9.8.2 (&gt;=1A, &gt;=10MHz, low ESR). Schematic footprint set to the KiCad stock 1008/2520 land (Inductor_SMD:L_1008_2520Metric, pads 1.25x2.2mm), the generic land for the 2.5x2.0mm package. Re-run Update-PCB to place it, then route (the earlier upload still had L2 on a 0603 land). Swap to Murata's exact DFE252010F land later if preferred.</t>
        </is>
      </c>
      <c r="M26" s="3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 island feed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s="3" t="inlineStr">
        <is>
          <t>BLM18PG221SN1D-ND (format-derived - confirm at cart)</t>
        </is>
      </c>
    </row>
    <row r="28" ht="15" customHeight="1" s="4">
      <c r="A28" s="3" t="inlineStr">
        <is>
          <t>C22</t>
        </is>
      </c>
      <c r="B28" s="3" t="n">
        <v>1</v>
      </c>
      <c r="C28" s="3" t="inlineStr">
        <is>
          <t>LDO input cap (STO side)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>
        <is>
          <t>Reuses the project 1uF 0402 part.</t>
        </is>
      </c>
      <c r="M28" s="3" t="inlineStr">
        <is>
          <t>GRM155R61A105KE15D-ND (format-derived - confirm at cart)</t>
        </is>
      </c>
    </row>
    <row r="29" ht="15" customHeight="1" s="4">
      <c r="A29" s="3" t="inlineStr">
        <is>
          <t>C23</t>
        </is>
      </c>
      <c r="B29" s="3" t="n">
        <v>1</v>
      </c>
      <c r="C29" s="3" t="inlineStr">
        <is>
          <t>LDO output cap (VS rail) - stability</t>
        </is>
      </c>
      <c r="D29" s="3" t="inlineStr">
        <is>
          <t>2.2 µF, 10 V, 0402, X5R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GRM155R61A225KE11D</t>
        </is>
      </c>
      <c r="J29" s="3" t="inlineStr">
        <is>
          <t>v4 NEW</t>
        </is>
      </c>
      <c r="K29" s="3" t="inlineStr">
        <is>
          <t>Bumped 1uF -&gt; 2.2uF: TPS7A02 needs &gt;=0.5uF EFFECTIVE for stability; a 1uF 0402 worst-cases at that floor over bias/tol/temp/age. 2.2uF 0402 restores ~2x margin, no rework.</t>
        </is>
      </c>
      <c r="M29" s="3" t="inlineStr">
        <is>
          <t>GRM155R61A225KE11D-ND (format-derived - confirm at cart)</t>
        </is>
      </c>
    </row>
    <row r="30" ht="15" customHeight="1" s="4">
      <c r="A30" s="3" t="inlineStr">
        <is>
          <t>C24</t>
        </is>
      </c>
      <c r="B30" s="3" t="n">
        <v>1</v>
      </c>
      <c r="C30" s="3" t="inlineStr">
        <is>
          <t>STO-sense filter</t>
        </is>
      </c>
      <c r="D30" s="3" t="inlineStr">
        <is>
          <t>100 nF, 0402</t>
        </is>
      </c>
      <c r="E30" s="3" t="inlineStr">
        <is>
          <t>0402</t>
        </is>
      </c>
      <c r="F30" s="3" t="inlineStr">
        <is>
          <t>Murata</t>
        </is>
      </c>
      <c r="G30" s="3" t="inlineStr">
        <is>
          <t>GRM155R71C104KA88D</t>
        </is>
      </c>
      <c r="J30" s="3" t="inlineStr">
        <is>
          <t>v4 NEW</t>
        </is>
      </c>
      <c r="K30" s="3" t="inlineStr"/>
      <c r="M30" s="3" t="inlineStr">
        <is>
          <t>490-3261-1-ND</t>
        </is>
      </c>
    </row>
    <row r="31" ht="15" customHeight="1" s="4">
      <c r="A31" s="3" t="inlineStr">
        <is>
          <t>C25</t>
        </is>
      </c>
      <c r="B31" s="3" t="n">
        <v>1</v>
      </c>
      <c r="C31" s="3" t="inlineStr">
        <is>
          <t>AEM BUFSRC buffer</t>
        </is>
      </c>
      <c r="D31" s="3" t="inlineStr">
        <is>
          <t>22 uF, 10 V, 0603</t>
        </is>
      </c>
      <c r="E31" s="3" t="inlineStr">
        <is>
          <t>0603</t>
        </is>
      </c>
      <c r="F31" s="3" t="inlineStr">
        <is>
          <t>Murata</t>
        </is>
      </c>
      <c r="G31" s="3" t="inlineStr">
        <is>
          <t>GRM188R61A226ME15D</t>
        </is>
      </c>
      <c r="J31" s="3" t="inlineStr">
        <is>
          <t>v4 NEW</t>
        </is>
      </c>
      <c r="K31" s="3" t="inlineStr">
        <is>
          <t>AEM10300 datasheet Table 11 CSRC (10 V; was 6.3 V) - keeps capacitance at the SRC node near panel Voc ~4.15 V.</t>
        </is>
      </c>
      <c r="M31" s="3" t="inlineStr">
        <is>
          <t>GRM188R61A226ME15D-ND (format-derived - confirm at cart)</t>
        </is>
      </c>
    </row>
    <row r="32" ht="15" customHeight="1" s="4">
      <c r="A32" s="3" t="inlineStr">
        <is>
          <t>C26</t>
        </is>
      </c>
      <c r="B32" s="3" t="n">
        <v>1</v>
      </c>
      <c r="C32" s="3" t="inlineStr">
        <is>
          <t>AEM VINT buffer cap</t>
        </is>
      </c>
      <c r="D32" s="3" t="inlineStr">
        <is>
          <t>10 uF, 0402</t>
        </is>
      </c>
      <c r="E32" s="3" t="inlineStr">
        <is>
          <t>0402</t>
        </is>
      </c>
      <c r="F32" s="3" t="inlineStr">
        <is>
          <t>Murata (rec.)</t>
        </is>
      </c>
      <c r="G32" s="3" t="inlineStr">
        <is>
          <t>GRM155R60J106ME44D</t>
        </is>
      </c>
      <c r="J32" s="3" t="inlineStr">
        <is>
          <t>v4 NEW</t>
        </is>
      </c>
      <c r="K32" s="3" t="inlineStr">
        <is>
          <t>AEM CINT (datasheet Table 11: 10uF 6.3V 0402; ME44D is the current-production equivalent). VINT ~2.2V, so 6.3V rating is fine.</t>
        </is>
      </c>
      <c r="M32" s="3" t="inlineStr">
        <is>
          <t>GRM155R60J106ME44D-ND (format-derived - confirm at cart)</t>
        </is>
      </c>
    </row>
    <row r="33" ht="15" customHeight="1" s="4">
      <c r="A33" s="3" t="inlineStr">
        <is>
          <t>C27</t>
        </is>
      </c>
      <c r="B33" s="3" t="n">
        <v>1</v>
      </c>
      <c r="C33" s="3" t="inlineStr">
        <is>
          <t>STO local HF decoupling</t>
        </is>
      </c>
      <c r="D33" s="3" t="inlineStr">
        <is>
          <t>10 µF, 10 V, 0603, X5R</t>
        </is>
      </c>
      <c r="E33" s="3" t="inlineStr">
        <is>
          <t>0603</t>
        </is>
      </c>
      <c r="F33" s="3" t="inlineStr">
        <is>
          <t>Murata</t>
        </is>
      </c>
      <c r="G33" s="3" t="inlineStr">
        <is>
          <t>GRM188R61A106KE69D</t>
        </is>
      </c>
      <c r="J33" s="3" t="inlineStr">
        <is>
          <t>LAND REWORK</t>
        </is>
      </c>
      <c r="K33" s="3" t="inlineStr">
        <is>
          <t>Moved to 0603 to keep 10uF at 10V (per request; matches C25's approach). STO rides to 4.65V where a 6.3V 0402 was thin + heavily derated; 10V 0603 gives full margin and effective bulk. Shares the C4/C13 10uF 10V 0603 reel. Land grows from 0402 - PCB rework.</t>
        </is>
      </c>
      <c r="M33" s="3" t="inlineStr">
        <is>
          <t>GRM188R61A106KE69D-ND (format-derived - confirm at cart)</t>
        </is>
      </c>
    </row>
    <row r="34" ht="15" customHeight="1" s="4">
      <c r="A34" s="3" t="inlineStr">
        <is>
          <t>C28</t>
        </is>
      </c>
      <c r="B34" s="3" t="n">
        <v>1</v>
      </c>
      <c r="C34" s="3" t="inlineStr">
        <is>
          <t>FRAM VNFC decoupling</t>
        </is>
      </c>
      <c r="D34" s="3" t="inlineStr">
        <is>
          <t>100 nF, 0402</t>
        </is>
      </c>
      <c r="E34" s="3" t="inlineStr">
        <is>
          <t>0402</t>
        </is>
      </c>
      <c r="F34" s="3" t="inlineStr">
        <is>
          <t>Murata</t>
        </is>
      </c>
      <c r="G34" s="3" t="inlineStr">
        <is>
          <t>GRM155R71C104KA88D</t>
        </is>
      </c>
      <c r="J34" s="3" t="inlineStr">
        <is>
          <t>v4 NEW</t>
        </is>
      </c>
      <c r="K34" s="3" t="inlineStr"/>
      <c r="M34" s="3" t="inlineStr">
        <is>
          <t>490-3261-1-ND</t>
        </is>
      </c>
    </row>
    <row r="35" ht="15" customHeight="1" s="4">
      <c r="A35" s="3" t="inlineStr">
        <is>
          <t>R15</t>
        </is>
      </c>
      <c r="B35" s="3" t="n">
        <v>1</v>
      </c>
      <c r="C35" s="3" t="inlineStr">
        <is>
          <t>STO sense divider top</t>
        </is>
      </c>
      <c r="D35" s="3" t="inlineStr">
        <is>
          <t>2 M, 0402</t>
        </is>
      </c>
      <c r="E35" s="3" t="inlineStr">
        <is>
          <t>0402</t>
        </is>
      </c>
      <c r="F35" s="3" t="inlineStr">
        <is>
          <t>Yageo</t>
        </is>
      </c>
      <c r="G35" s="3" t="inlineStr">
        <is>
          <t>RC0402FR-072ML</t>
        </is>
      </c>
      <c r="J35" s="3" t="inlineStr">
        <is>
          <t>v4 NEW</t>
        </is>
      </c>
      <c r="K35" s="3" t="inlineStr"/>
      <c r="M35" s="3" t="inlineStr">
        <is>
          <t>RC0402FR-072ML-ND (format-derived - confirm at cart)</t>
        </is>
      </c>
    </row>
    <row r="36">
      <c r="A36" s="3" t="inlineStr">
        <is>
          <t>R16, R17</t>
        </is>
      </c>
      <c r="B36" s="3" t="n">
        <v>2</v>
      </c>
      <c r="C36" s="3" t="inlineStr">
        <is>
          <t>STO sense bottom + EN_STO_CH pull-up</t>
        </is>
      </c>
      <c r="D36" s="3" t="inlineStr">
        <is>
          <t>1 M, 0402</t>
        </is>
      </c>
      <c r="E36" s="3" t="inlineStr">
        <is>
          <t>0402</t>
        </is>
      </c>
      <c r="F36" s="3" t="inlineStr">
        <is>
          <t>Yageo</t>
        </is>
      </c>
      <c r="G36" s="3" t="inlineStr">
        <is>
          <t>RC0402FR-071ML</t>
        </is>
      </c>
      <c r="J36" s="3" t="inlineStr">
        <is>
          <t>v4 NEW</t>
        </is>
      </c>
      <c r="K36" s="3" t="inlineStr"/>
      <c r="M36" s="3" t="inlineStr">
        <is>
          <t>RC0402FR-071ML-ND (format-derived - confirm at cart)</t>
        </is>
      </c>
    </row>
    <row r="37">
      <c r="A37" s="3" t="inlineStr">
        <is>
          <t>Placed-parts subtotal (per board)</t>
        </is>
      </c>
      <c r="I37" s="3">
        <f>SUM(I2:I30)</f>
        <v/>
      </c>
    </row>
    <row r="38"/>
    <row r="39">
      <c r="A39" s="3" t="inlineStr">
        <is>
          <t>NOTE: PCBWay turnkey BOM — machine-placed, bottom side, 39 parts. Converted 0402 lines + U6/R14 have prices blanked pending quote.</t>
        </is>
      </c>
    </row>
    <row r="40">
      <c r="A40" s="3" t="inlineStr">
        <is>
          <t>Hand-soldered by customer, NOT on this BOM: SC1-SC4 (supercaps), PV1-PV2 (solar cells).</t>
        </is>
      </c>
    </row>
    <row r="41">
      <c r="A41" s="3" t="inlineStr">
        <is>
          <t>Not placed: SW2, SB1-SB4 (bridges), TC1 (Tag-Connect), J1/JP1/JP2 (headers), MH1-MH4,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2026-07-20T02:13:56Z</dcterms:modified>
  <cp:revision>0</cp:revision>
</cp:coreProperties>
</file>