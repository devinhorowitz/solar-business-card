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OM" sheetId="1" state="visible" r:id="rId3"/>
    <sheet name="Flags &amp; Decision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<sst xmlns="http://schemas.openxmlformats.org/spreadsheetml/2006/main" count="270" uniqueCount="237">
  <si>
    <t xml:space="preserve">Ref(s)</t>
  </si>
  <si>
    <t xml:space="preserve">Qty</t>
  </si>
  <si>
    <t xml:space="preserve">Function</t>
  </si>
  <si>
    <t xml:space="preserve">Value</t>
  </si>
  <si>
    <t xml:space="preserve">Package / Footprint</t>
  </si>
  <si>
    <t xml:space="preserve">Mfr</t>
  </si>
  <si>
    <t xml:space="preserve">MPN (orderable)</t>
  </si>
  <si>
    <t xml:space="preserve">≈$/ea*</t>
  </si>
  <si>
    <t xml:space="preserve">Ext $</t>
  </si>
  <si>
    <t xml:space="preserve">Status</t>
  </si>
  <si>
    <t xml:space="preserve">Sourcing note / flag</t>
  </si>
  <si>
    <t xml:space="preserve">Datasheet (repo)</t>
  </si>
  <si>
    <t xml:space="preserve">DigiKey P/N</t>
  </si>
  <si>
    <t xml:space="preserve">U1</t>
  </si>
  <si>
    <t xml:space="preserve">MCU — ATtiny1616 (tinyAVR-1): 4 independent HW-PWM LED drives, dome-button input, I2C master to JP1 + edge teeth</t>
  </si>
  <si>
    <t xml:space="preserve">—</t>
  </si>
  <si>
    <t xml:space="preserve">20-VQFN 3×3×0.9mm (EP)</t>
  </si>
  <si>
    <t xml:space="preserve">Microchip</t>
  </si>
  <si>
    <t xml:space="preserve">ATTINY1616-MFR</t>
  </si>
  <si>
    <t xml:space="preserve">LOCKED</t>
  </si>
  <si>
    <t xml:space="preserve">ATTINY1616-MFR — DigiKey ATTINY1616-MFRCT-ND, 20-VQFN 3×3, in stock $0.92. (Reverted prior -MNR change; -MFR is the ordered part. -MNR is an equivalent alternate, same 20-VQFN.)</t>
  </si>
  <si>
    <t xml:space="preserve">datasheets/ATtiny1614-16-17-DataSheet-DS40002204A-2.pdf</t>
  </si>
  <si>
    <t xml:space="preserve">ATTINY1616-MFRCT-ND</t>
  </si>
  <si>
    <t xml:space="preserve">D1</t>
  </si>
  <si>
    <t xml:space="preserve">Solar blocking/charge diode (VIN→VS, blocks reverse drain in dark)</t>
  </si>
  <si>
    <t xml:space="preserve">Schottky, Vf≈0.3–0.6 V</t>
  </si>
  <si>
    <t xml:space="preserve">SOD-123</t>
  </si>
  <si>
    <t xml:space="preserve">onsemi</t>
  </si>
  <si>
    <t xml:space="preserve">MMSD301T1G</t>
  </si>
  <si>
    <t xml:space="preserve">Low-Vf Schottky — good for the ~4 V solar budget. In stock, cheap.</t>
  </si>
  <si>
    <t xml:space="preserve">datasheets/MMSD301T1-D.PDF</t>
  </si>
  <si>
    <t xml:space="preserve">MMSD301T1GOSCT-ND</t>
  </si>
  <si>
    <t xml:space="preserve">PV1</t>
  </si>
  <si>
    <t xml:space="preserve">Indoor solar cell (charges the supercap stack)</t>
  </si>
  <si>
    <t xml:space="preserve">Voc 4.15 V, 184 mW, mono</t>
  </si>
  <si>
    <t xml:space="preserve">custom outline</t>
  </si>
  <si>
    <t xml:space="preserve">ANYSOLAR (IXOLAR)</t>
  </si>
  <si>
    <t xml:space="preserve">SM141K06L</t>
  </si>
  <si>
    <t xml:space="preserve">⚠ FOOTPRINT: board assumes 42×23 mm; datasheet lists SM141K06L cell area ~21.5×6.6 mm — verify true module outline + terminal positions before fab. NOT reflow-safe (hand-solder ≤260 °C/2 s). Footprint confirmed vs datasheet: 42x23x1.8 body, 2x dia-3.0 pads 3mm in from each short end (+/-18) at mid-height, - left/+ right; lands dia-3.5. MANUAL SOLDER ONLY - no reflow (EVA laminated, &lt;260C/2s); pre-bake if blistering; lukewarm-water clean, no IPA. Voc 4.15/Vmpp 3.35/Isc 58.6/Impp 55.1/Pmpp 184mW. Added hand-solder access tabs (Pt/Nt poke past the short edges) + thermal relief on the GND pad (2 spokes); verified connected to the GND pour.</t>
  </si>
  <si>
    <t xml:space="preserve">datasheets/SM141K06L DATA SHEET 202007-3.pdf</t>
  </si>
  <si>
    <t xml:space="preserve">SM141K06L-ND</t>
  </si>
  <si>
    <t xml:space="preserve">SC1, SC2</t>
  </si>
  <si>
    <t xml:space="preserve">Energy storage — two cells in SERIES (VS–MID, MID–GND) = 5.5 V / ~150 mF stack</t>
  </si>
  <si>
    <t xml:space="preserve">2.75 V, 300 mF (each)</t>
  </si>
  <si>
    <t xml:space="preserve">prismatic SMD, 28.5×17×1 mm</t>
  </si>
  <si>
    <t xml:space="preserve">SCHURTER</t>
  </si>
  <si>
    <t xml:space="preserve">3-153-434</t>
  </si>
  <si>
    <t xml:space="preserve">Part correct: SCHURTER 3-153-434 (WS10 case, 2.75 V/300 mF; two in series = 5.5 V/150 mF). FOOTPRINT VERIFIED to the WS10 recommended land — two 3.5×3.5 mm pads on a diagonal, 36.5×16 mm span (centres ±16.5/±6.25). The 36.5 mm pad span is correct: the WS10 terminals extend ~2.75 mm past the 28.5 mm body, so pads reaching beyond the body is intended. NOT reflow-safe (hand-solder, manual). Observe polarity (diagonal +/-).</t>
  </si>
  <si>
    <t xml:space="preserve">datasheets/typ_SCPC-2.pdf</t>
  </si>
  <si>
    <t xml:space="preserve">486-3-153-434-ND</t>
  </si>
  <si>
    <t xml:space="preserve">D2, D3, D4, D5</t>
  </si>
  <si>
    <t xml:space="preserve">Glow LEDs — reverse-mount, emit through the bare-FR4 'DRH' window</t>
  </si>
  <si>
    <t xml:space="preserve">Amber 617 nm, Vf≈2.25 V</t>
  </si>
  <si>
    <t xml:space="preserve">PointLED, 2-SMD flat-lead, ~3.4×1.25 mm</t>
  </si>
  <si>
    <t xml:space="preserve">ams OSRAM</t>
  </si>
  <si>
    <t xml:space="preserve">LA P47F-V2BB-24-3B5A-30-R18-Z</t>
  </si>
  <si>
    <t xml:space="preserve">RESOLVED (flag #6): in-stock bin chosen — LA P47F-V2BB-24-3B5A-30-R18-Z (ams OSRAM reverse-mount amber, ~11k stock, MOQ 1, cut tape). Same P47F window footprint as the original spec; this is the -3B5A bin so Vf ≈ 2.25 V (vs ≈2.0 V for -3A4B). With the 1 kΩ ballast: I ≈ (VS−Vf)/1k ≈ 3.25 mA at 5.5 V full charge, ~1.75 mA mid-rail, tapering to cutoff as the rail nears ~2.25 V — slightly earlier extinguish than the 2.0 V bin, still well under rating. ADC-scale PWM in firmware to flatten.</t>
  </si>
  <si>
    <t xml:space="preserve">datasheets/LA P47F_EN-2.pdf</t>
  </si>
  <si>
    <t xml:space="preserve">475-LAP47F-V2BB-24-3B5A-30-R18-ZCT-ND</t>
  </si>
  <si>
    <t xml:space="preserve">R1, R2, R3, R4</t>
  </si>
  <si>
    <t xml:space="preserve">LED ballast — one per LED (independent). Sets each LED's current; per-LED low-side PWM</t>
  </si>
  <si>
    <t xml:space="preserve">150 Ω, ±1%, 25 ppm/°C</t>
  </si>
  <si>
    <t xml:space="preserve">1206</t>
  </si>
  <si>
    <t xml:space="preserve">Vishay Dale</t>
  </si>
  <si>
    <t xml:space="preserve">TNPW1206150RFEEA</t>
  </si>
  <si>
    <t xml:space="preserve">150 Ω (revised v2.1): Vishay Dale TNPW1206150RFEEA — 150 Ω ±1%, thin film, 25 ppm/°C, 1206. Sized as the LED-current FLOOR for the accel-clamped VS rail (~3.47 V): each LED has its own cathode (K2–K5) + ballast, I ≈ (VS−Vf−V_OL)/150 ≈ 9 mA/LED peak — ~4× margin to the AVR DD ±40 mA pin abs-max, ~36 mA total on PORTA with all 4 lit (sinking is the strong direction; V_OL ~0.2 V). Brightness/runtime is PWM-trimmable BELOW this ceiling (PA0–PA3). Supersedes the earlier 1 kΩ (TNPW12061K00FEEA), sized for a 5.5 V rail — dropped because VS is now clamped to keep the accel under its 3.6 V max. Trim window ~100–220 Ω (lower = brighter/shorter). Same-spec cheaper 150 Ω drop-ins exist from Bourns/KOA (look up by value).</t>
  </si>
  <si>
    <t xml:space="preserve">datasheets/tnpw_e3.pdf</t>
  </si>
  <si>
    <t xml:space="preserve">(by MPN)</t>
  </si>
  <si>
    <t xml:space="preserve">C1</t>
  </si>
  <si>
    <t xml:space="preserve">MCU decoupling (VS→GND, next to U1 VDD)</t>
  </si>
  <si>
    <t xml:space="preserve">0.1 µF, X7R, 50 V, ±10%</t>
  </si>
  <si>
    <t xml:space="preserve">0805</t>
  </si>
  <si>
    <t xml:space="preserve">Samsung</t>
  </si>
  <si>
    <t xml:space="preserve">CL21B104KBCWPNC</t>
  </si>
  <si>
    <t xml:space="preserve">LOCKED: Samsung CL21B104KBCWPNC — 0.1 µF X7R, 50 V, ±10%, 0805, AEC-Q200, active (cut tape 1276-6557-1-ND). MCU VDD decoupler — place tight to U1 pin 4. Both caps moved to the Samsung CL line for a single active AEC family (the Murata GCM 0.1 µF/50 V was NRND). 50 V → near-zero DC-bias loss at the 5.5 V rail. Package is 0805 (board pads; 1206 would collide with the J1 pads).</t>
  </si>
  <si>
    <t xml:space="preserve">datasheets/CL21B104KBCWPNC.pdf</t>
  </si>
  <si>
    <t xml:space="preserve">1276-6557-1-ND</t>
  </si>
  <si>
    <t xml:space="preserve">C2, C3</t>
  </si>
  <si>
    <t xml:space="preserve">VS-rail HF bypass (VS→GND, supercaps are the bulk)</t>
  </si>
  <si>
    <t xml:space="preserve">1 µF, X7R, 50 V, ±10%</t>
  </si>
  <si>
    <t xml:space="preserve">CL21B105KBFVPNE</t>
  </si>
  <si>
    <t xml:space="preserve">LOCKED: Samsung CL21B105KBFVPNE — 1 µF X7R, 50 V, ±10%, 0805, AEC-Q200, active (cut tape 1276-6606-1-ND). Same Samsung CL family as C1 (consistent set). VS-rail HF bypass — the supercaps carry the bulk, these only smooth the LED-PWM switching edges.</t>
  </si>
  <si>
    <t xml:space="preserve">datasheets/CL21B105KBFVPNE.pdf</t>
  </si>
  <si>
    <t xml:space="preserve">1276-6606-1-ND</t>
  </si>
  <si>
    <t xml:space="preserve">SW1</t>
  </si>
  <si>
    <t xml:space="preserve">Tactile dome — user button: C→PA7 (MCU input), ring→GND</t>
  </si>
  <si>
    <t xml:space="preserve">12 mm, 340 g, N.O. SPST</t>
  </si>
  <si>
    <t xml:space="preserve">Ø12 mm metal snap dome</t>
  </si>
  <si>
    <t xml:space="preserve">Snaptron</t>
  </si>
  <si>
    <t xml:space="preserve">F12340</t>
  </si>
  <si>
    <t xml:space="preserve">Ships loose or on Peel-N-Place tape; RETAINED BY AN OVERLAY/ADHESIVE, not soldered — separate from the QFN reflow. Vent hole already in the layout. (FD12340 = adhesive-mounted variant.) Now an independent button to PA7 — not the LED return, not via JP1. Dual-mode: omit dome → bare PA7 pad = cap-touch (no part).</t>
  </si>
  <si>
    <t xml:space="preserve">— no datasheet (Snaptron dome); repo: datasheets/F12340.kicad_sym + SW_F12340.kicad_mod</t>
  </si>
  <si>
    <t xml:space="preserve">4955-F12340-ND</t>
  </si>
  <si>
    <t xml:space="preserve">U2</t>
  </si>
  <si>
    <t xml:space="preserve">Supercap balancer — dual SAB MOSFET across the supercap MID node (auto leakage-current balancing; keeps each cell under its 2.75 V rating)</t>
  </si>
  <si>
    <t xml:space="preserve">Dual SAB MOSFET, Vt 2.50 V</t>
  </si>
  <si>
    <t xml:space="preserve">SOIC-8 (SAL)</t>
  </si>
  <si>
    <t xml:space="preserve">Advanced Linear Devices</t>
  </si>
  <si>
    <t xml:space="preserve">ALD910025SALI</t>
  </si>
  <si>
    <t xml:space="preserve">LOCKED: ALD910025SALI — ALD9100xx DUAL SAB MOSFET, SOIC-8 (DK# ALD910025SALI-ND). Pinout VERIFIED vs the ALD810025/ALD910025 datasheet (p.2, two-supercap connection): M1 across SC1 (G+D pins 2,3 → VS; S pin 4 → MID); M2 across SC2 (G+D pins 6,7 → MID; S → GND); V+ pin 8 → VS; V−/IC pins 1,5 → GND — matches the board nets. Vt 2.50 V suits the two series 2.75 V cells. NOT the ALD810025 (that is the QUAD / 16-pin sibling in the same datasheet). In stock, tube, MOQ 1.</t>
  </si>
  <si>
    <t xml:space="preserve">datasheets/ALD810025-2.pdf</t>
  </si>
  <si>
    <t xml:space="preserve">ALD910025SALI-ND</t>
  </si>
  <si>
    <t xml:space="preserve">Parts subtotal (per board, indicative)</t>
  </si>
  <si>
    <t xml:space="preserve">Solar build, incl. common C4. Battery build ≈ $28.10 (swap PV1 → 2×CR1632 + 2×3012 retainers + D6/D7). Solar &amp; battery are ALTERNATIVES — don't add the two subtotals.</t>
  </si>
  <si>
    <t xml:space="preserve">PCB features — no part to buy</t>
  </si>
  <si>
    <t xml:space="preserve">TP1–TP7</t>
  </si>
  <si>
    <t xml:space="preserve">Test pads — 7-pad row: TP1=VS, TP7=VIN, the other five = GND probes. (Was VS/RET/RETD/LRET/GND — return nets removed in the per-LED reroute.)</t>
  </si>
  <si>
    <t xml:space="preserve">J1</t>
  </si>
  <si>
    <t xml:space="preserve">UPDI programming pads (UPDI/VCC/GND) — bare flat pads. Needs an external UPDI programmer to flash U1 (e.g. Microchip SNAP/PICkit, or a jtag2updi/serial-UPDI adapter).</t>
  </si>
  <si>
    <t xml:space="preserve">JP1</t>
  </si>
  <si>
    <t xml:space="preserve">3-pin I2C breakout header (pin1 SDA / pin2 SCL / pin3 GND) — bare pads. (Was a RET/RETD/GND solder jumper; repurposed to I2C.) Same bus is also on the edge castellations.</t>
  </si>
  <si>
    <t xml:space="preserve">CAST ×5</t>
  </si>
  <si>
    <t xml:space="preserve">Castellated edge teeth (right edge, plated half-holes Ø0.9 mm): VS / SDA / SCL / GND / GND — solder-down module + I2C/power bus. ⚠ OSH Park does NOT officially support castellations (half-holes can tear) — ignore for the v0 proto; for the PCBWay locked run, enable the castellated-edge / half-hole option.</t>
  </si>
  <si>
    <t xml:space="preserve">Battery option — ALTERNATIVE to PV1 (populate the coins + diodes INSTEAD of the solar cell; silk reads “SOLAR or BATTERY, NOT BOTH”)</t>
  </si>
  <si>
    <t xml:space="preserve">BT1, BT2</t>
  </si>
  <si>
    <t xml:space="preserve">Coin-cell retainers — two in SERIES (hidden under the panel) form a ~6 V battery in place of the solar cell</t>
  </si>
  <si>
    <t xml:space="preserve">16 mm coin (CR1620/CR1632)</t>
  </si>
  <si>
    <t xml:space="preserve">Keystone SMT retainer, FIG.2 Low Profile (W=23.2 mm land)</t>
  </si>
  <si>
    <t xml:space="preserve">Keystone</t>
  </si>
  <si>
    <t xml:space="preserve">3012 / 3012TR (tin-nickel)  ·  3092 / 3092TR (matte tin)</t>
  </si>
  <si>
    <t xml:space="preserve">Part OK — 16mm, fits CR1632</t>
  </si>
  <si>
    <t xml:space="preserve">Keystone 3012 (Sn-Ni) / 3092 (matte tin), single-cell 16mm SMT retainer; accepts CR1612/1616/1620/1632. Land=Keystone FIG.2 (23.2mm body) — final overlay vs datasheet before order. Confirm 3092 single-cell before substituting.</t>
  </si>
  <si>
    <t xml:space="preserve">datasheets/K75p11.pdf</t>
  </si>
  <si>
    <t xml:space="preserve">36-3012CT-ND</t>
  </si>
  <si>
    <t xml:space="preserve">D6, D7</t>
  </si>
  <si>
    <t xml:space="preserve">Battery over-voltage drop — two Si diodes in SERIES so 2×3 V coins land ≤5.5 V on VS</t>
  </si>
  <si>
    <t xml:space="preserve">Si switching, Vf≈0.6 V ea</t>
  </si>
  <si>
    <t xml:space="preserve">MMSD4148T1G</t>
  </si>
  <si>
    <t xml:space="preserve">Two 1N4148-class Si diodes in series drop ~1.1–1.2 V (vs ~0.3 V for a Schottky like D1) — 6.6 V fresh worst-case → ~5.4 V on VS, safe under the 5.5 V stack cap. Reuses the SOD-123 footprint. Only in the battery population. REV J: rear-mounted in the SC1/SC2 gap, hidden under the panel (kept off the front so the panel/coins sit clean).</t>
  </si>
  <si>
    <t xml:space="preserve">datasheets/MMSD4148T1-D.PDF</t>
  </si>
  <si>
    <t xml:space="preserve">MMSD4148T1GOSCT-ND</t>
  </si>
  <si>
    <t xml:space="preserve">C4</t>
  </si>
  <si>
    <t xml:space="preserve">VS-rail decoupling (common — both builds)</t>
  </si>
  <si>
    <t xml:space="preserve">1 µF, X7S, 10 V, ±10%</t>
  </si>
  <si>
    <t xml:space="preserve">0402</t>
  </si>
  <si>
    <t xml:space="preserve">CL05Y105KP6VPN</t>
  </si>
  <si>
    <t xml:space="preserve">Samsung CL05Y105KP6VPN — 1 µF X7S, 10 V (datasheet rates it 10 V; the “P6V” in the MPN is NOT the rating), ±10%, 0402. Small enough for the cramped coin zone. ~54% of rated at 5.4 V; X7S DC-bias droop ~−50% at 5 V (~0.5 µF effective). Local HF bypass only — C2/C3 + supercaps are the bulk on the solar build; not a swap for them (a 0402/10 V part would lose value on the main rail). Generic IPC 0402 land. REV J: rear-mounted on the VS bus near SC1 (moved off the front with the diodes). NOT in current DigiKey cart — add CL05Y105KP6VPN before ordering.</t>
  </si>
  <si>
    <t xml:space="preserve">datasheets/DataSheet_CL05Y105KP6VPN_20260616.pdf</t>
  </si>
  <si>
    <t xml:space="preserve">(cells)</t>
  </si>
  <si>
    <t xml:space="preserve">Coin cells (user-supplied) — two in series for the ~6 V battery option</t>
  </si>
  <si>
    <t xml:space="preserve">CR1632, 3 V, ~120 mAh ea</t>
  </si>
  <si>
    <t xml:space="preserve">16 mm coin</t>
  </si>
  <si>
    <t xml:space="preserve">CR1632 (e.g. Panasonic CR1632)</t>
  </si>
  <si>
    <t xml:space="preserve">user-supplied</t>
  </si>
  <si>
    <t xml:space="preserve">Two 3 V Li coins in series ≈ 6 V → 2 diodes → ~5.4 V on VS. CR1632 ≈120 mAh → ~12 h at full LED tilt (~10 mA) — ample for a troubleshooting bench rail. CR1620 also fits the 3012/3092 (less capacity). Not soldered — drop into the retainers; mind polarity (clip = +).</t>
  </si>
  <si>
    <t xml:space="preserve">datasheets/CR1632_Datasheet_EN.pdf</t>
  </si>
  <si>
    <t xml:space="preserve">Battery-option subtotal (per board)</t>
  </si>
  <si>
    <t xml:space="preserve">Battery-option section (C4 is common, also in solar total above).</t>
  </si>
  <si>
    <t xml:space="preserve">*≈$/ea is indicative, qty 1–10 USD (Q1 2026), for a board-cost sanity check only — confirm live pricing at order. Supercaps + solar cell dominate cost.</t>
  </si>
  <si>
    <t xml:space="preserve">#</t>
  </si>
  <si>
    <t xml:space="preserve">Item</t>
  </si>
  <si>
    <t xml:space="preserve">Type</t>
  </si>
  <si>
    <t xml:space="preserve">What's needed / what was decided</t>
  </si>
  <si>
    <t xml:space="preserve">R1–R4 ballast value</t>
  </si>
  <si>
    <t xml:space="preserve">RESOLVED (value)</t>
  </si>
  <si>
    <t xml:space="preserve">RESOLVED (v2.1, revised — was 1 kΩ). R1–R4 = Vishay Dale TNPW1206150RFEEA (150 Ω ±1%, thin film, 25 ppm/°C, 1206). Sized as the LED-current floor for the accel-clamped VS rail (~3.47 V): ~9 mA/LED peak, ~4× margin to the AVR DD ±40 mA pin abs-max; brightness/runtime PWM-trimmed below that ceiling. Supersedes the earlier 1 kΩ (TNPW12061K00FEEA), which assumed a 5.5 V rail — abandoned to keep VS under the accel's 3.6 V max. Trim window ~100–220 Ω.</t>
  </si>
  <si>
    <t xml:space="preserve">C1 value</t>
  </si>
  <si>
    <t xml:space="preserve">RESOLVED. C1 = Samsung CL21B104KBCWPNC (0.1 µF X7R, 50 V, ±10%, 0805, AEC-Q200, active). MCU VDD decoupler tight to U1 pin 4. Moved off Murata GCM (NRND) to the Samsung CL line so both caps share one active AEC family.</t>
  </si>
  <si>
    <t xml:space="preserve">C2 / C3 value</t>
  </si>
  <si>
    <t xml:space="preserve">RESOLVED. C2/C3 = Samsung CL21B105KBFVPNE (1 µF X7R, 50 V, ±10%, 0805, AEC-Q200, active) — same Samsung CL family as C1. VS-rail HF bypass for LED-switching transients.</t>
  </si>
  <si>
    <t xml:space="preserve">SC1/SC2 footprint</t>
  </si>
  <si>
    <t xml:space="preserve">RESOLVED (footprint)</t>
  </si>
  <si>
    <t xml:space="preserve">RESOLVED. Footprint matches the SCHURTER WS10 recommended solder land (two 3.5×3.5 mm pads on a diagonal, 36.5×16 mm span; centres ±16.5/±6.25). The 36.5 mm pad span is correct — WS10 terminals extend ~2.75 mm beyond the 28.5 mm body, so pads reaching past the body is intended, not a misfit. Series wiring VS→SC1(P→N)→MID→SC2(P→N)→GND confirmed. (The earlier 'pads ~40 mm apart, won't seat' note misread the recommended land — cleared. Just observe the diagonal +/- polarity at assembly.)</t>
  </si>
  <si>
    <t xml:space="preserve">PV1 footprint</t>
  </si>
  <si>
    <t xml:space="preserve">Confirmed against the ANYSOLAR SM141K06L datasheet (Rev Dec 2024) back-side view. Body 42 x 23 x 1.8 mm = built outline. Two round solder pads dia-3.00, set 3 mm in from each SHORT end (=&gt; centres +/-18 from x-centre) at mid-height (11.5 of 23) = built pad centres exactly. Polarity - on the left, + on the right = built (P-&gt;VIN right, N-&gt;GND left). Built lands dia-3.5 (0.5 over the cell pad) confirmed - slightly generous for a hand-solder fillet. Electrical (typ, 1 sun): Voc 4.15 V, Vmpp 3.35 V, Isc 58.6 mA, Impp 55.1 mA, Pmpp 184 mW.</t>
  </si>
  <si>
    <t xml:space="preserve">D2–D5 availability</t>
  </si>
  <si>
    <t xml:space="preserve">RESOLVED (sourcing)</t>
  </si>
  <si>
    <t xml:space="preserve">RESOLVED. D2–D5 = LA P47F-V2BB-24-3B5A-30-R18-Z (ams OSRAM reverse-mount amber, in stock ~11k, MOQ 1) — the -3B5A bin (Vf ≈ 2.25 V), same P47F window footprint. Ballast (150 Ω, revised v2.1): ~9 mA peak at the clamped 3.47 V rail; PWM-trimmed in firmware.</t>
  </si>
  <si>
    <t xml:space="preserve">SW1 retention</t>
  </si>
  <si>
    <t xml:space="preserve">BUILD note</t>
  </si>
  <si>
    <t xml:space="preserve">F12340 domes are not soldered — they're held by an adhesive overlay or Peel-N-Place tape over the dome + GND ring. Plan a top sticker/overlay, or order the FD-/adhesive variant. Vent hole already in the layout.</t>
  </si>
  <si>
    <t xml:space="preserve">U1 programming</t>
  </si>
  <si>
    <t xml:space="preserve">ATtiny1616 flashes over UPDI via the J1 pads. You'll need a UPDI programmer (Microchip SNAP/PICkit 4/5, or serial-UPDI / jtag2updi). Not a BOM line, but required to bring the board up.</t>
  </si>
  <si>
    <t xml:space="preserve">9</t>
  </si>
  <si>
    <t xml:space="preserve">U1 PB3 / 4th PWM channel</t>
  </si>
  <si>
    <t xml:space="preserve">RESOLVED (pin map)</t>
  </si>
  <si>
    <t xml:space="preserve">RESOLVED. Drives reassigned so all four LEDs get independent hardware PWM: D3/D4/D5 ← PB0/PB1/PB2 = TCA0 split WO0/WO1/WO2; D2 ← PC0 = TCB0 PWM (alternate route). PB3 (only TCA0 WO0-alternate, never WO3) is now unused/freed. Routing: the right-edge escape fan shifted up one pad-row; DRC re-verified clean (all nets single-island, 0 shorts, confirmed on the emitted gerber). Firmware: match TCB0's PWM period to TCA0's so D2 tracks the other three; all four duty values are updatable in one timer ISR.</t>
  </si>
  <si>
    <t xml:space="preserve">10</t>
  </si>
  <si>
    <t xml:space="preserve">I2C pin position</t>
  </si>
  <si>
    <t xml:space="preserve">SDA=PA1, SCL=PA2 — the ALTERNATE TWI0 position (default SDA/SCL on PB1/PB0 are LED drives). Two PORTMUX routes are needed in firmware: TWI0 → alternate (I2C on PA1/PA2) and TCB0 → alternate (PWM out on PC0 for D2). JP1 header + edge teeth both carry the I2C bus.</t>
  </si>
  <si>
    <t xml:space="preserve">11</t>
  </si>
  <si>
    <t xml:space="preserve">Fab plan</t>
  </si>
  <si>
    <t xml:space="preserve">PROCESS</t>
  </si>
  <si>
    <t xml:space="preserve">v0 proto: OSH Park (2-layer, 0.8 mm, ENIG, purple mask, MOQ 3) — validate electrical + mechanical, iterate cheaply. Locked design: PCBWay 0.8 mm, matte-black soldermask, ENIG, MOQ 5 — enable the castellated-edge option.</t>
  </si>
  <si>
    <t xml:space="preserve">12</t>
  </si>
  <si>
    <t xml:space="preserve">U2 supercap balancer</t>
  </si>
  <si>
    <t xml:space="preserve">RESOLVED (part + pinout)</t>
  </si>
  <si>
    <t xml:space="preserve">RESOLVED. U2 = ALD910025SALI (ALD9100xx dual SAB MOSFET, SOIC-8). Pinout verified against the datasheet two-supercap connection diagram — matches the board nets (M1 across SC1, M2 across SC2; V+ pin 8 → VS; V−/IC pins 1,5 → GND). Added to the BOM as a line. NOT the ALD810025 (quad / 16-pin sibling).</t>
  </si>
  <si>
    <t xml:space="preserve">13</t>
  </si>
  <si>
    <t xml:space="preserve">Coin-retainer land (BT1/BT2)</t>
  </si>
  <si>
    <t xml:space="preserve">Land confirmed against the Keystone K75p11 datasheet (3012/3092, FIG.2 Low Profile) - dimensioned table + pad-layout drawings. W=.914in (23.2) = outer tail-to-tail span (W MIN); two tail/solder pads = F=.125in (3.2) SQ; centre negative contact pad = P=.156in (4.0) SQ MIN (the generic note “NEG. CONTACT (PAD) .156 [3.96] SQ. MIN.” matches the P column). Built: tail pads 3.2 sq at centres +/-10.0 so the outer edge sits on W/2=11.6 (corrected from 3.15, which was 0.05 under the F sq min); centre neg pad 9mm-dia round, exceeding the 4.0 sq min for robust 16mm-cell contact and well clear of the tails. DRC re-verified clean (19 nets, 0 shorts) and confirmed on the emitted front-copper gerber.</t>
  </si>
  <si>
    <t xml:space="preserve">14</t>
  </si>
  <si>
    <t xml:space="preserve">Battery diodes + bypass (D6/D7/C4)</t>
  </si>
  <si>
    <t xml:space="preserve">RESOLVED (parts)</t>
  </si>
  <si>
    <t xml:space="preserve">D6/D7 = onsemi MMSD4148T1G (2x Si, SOD-123) in series -&gt; ~1.1-1.2 V drop, so 6.6 V fresh coins land ~5.4 V on VS (safe under 5.5 V). C4 = Samsung CL05Y105KP6VPN (1 uF X7S, 10 V - not 6.3 V; 0402) battery-rail bypass at VS-&gt;GND. REV J: all three are REAR-mounted - D6/D7 in the SC1/SC2 gap under the panel, C4 on the VS bus near SC1 - so the front carries only the retainer clips and the panel/coins seat cleanly. EITHER solar OR battery - front silk reads “SOLAR or BATTERY, NOT BOTH.” DRC re-verified clean: 19 nets single-island, 0 shorts, confirmed on the emitted gerber (incl. the rear back-copper crop).</t>
  </si>
  <si>
    <t xml:space="preserve">#15</t>
  </si>
  <si>
    <t xml:space="preserve">Breakout panel + mouse-bite tabs</t>
  </si>
  <si>
    <t xml:space="preserve">DONE</t>
  </si>
  <si>
    <t xml:space="preserve">Self-framing breakout: the card sits in a sacrificial frame (panel 61.7 x 99.8 mm; moat 2.4, rail 3.0 each side) joined by two solid breakaway tabs on the SHORT edges, centred on x=W/2 - top (y=88.9, least handled) and bottom (y=0, least visible). Each tab is 3.0 wide and perforated by 4x dia-0.5 mouse-bite holes at 0.8 pitch (NPTH) straddling the card edge, sitting in the 0.38 mm copper-free rim so no copper is touched. Rationale: OSH Park pools the board and adds ITS OWN breakaway tabs to the outermost outline wherever it likes; framing steers those onto the frame, which is discarded, leaving only these two controlled tabs to dress on the card (short edges sand flattest). Panel adds ~36% area (9.55 vs 7.0 sq in) - modest OSH cost bump. OPEN: MOAT_W=2.4 must be &gt;= OSH Park current min routed-slot / router-bit width - confirm before fab and widen if needed. Params live at the top of gerber_export.py. Castellated/scalloped edge is a separate, deliberate PCBWay-run feature (plated half-vias on the FAB-routed card edges), not a byproduct of these tabs. RESOLVED per OSH Park Board-Outline doc (docs.oshpark.com/submitting-orders/board-outline): OSH standard router bit = 0.068" (1.7272mm); MOAT_W=2.4mm clears it by ~0.67mm, so the moat routes with the guaranteed bit (no reliance on the non-guaranteed sub-1.7272mm bits, floor 0.04"/1.016mm). Verified the moat also meets OSH's board-cutout rules: drawn as closed-loop lines on the GKO with a 0.1mm aperture (not filled polygons), and 0.0000mm2 copper beneath on both layers. Caveats (non-blocking): (a) outline-layer slot = OSH 'not fully supported but typically fabbed without issue'; tabs+mouse-bites correctly in NPTH. (b) OSH bills bounding rect: panel 9.52 sq in vs bare card 7.00 sq in (~36% more), the intended cost of the sacrificial frame that steers OSH's own breakaway tabs off the card edge. No design change.</t>
  </si>
  <si>
    <t xml:space="preserve">#16</t>
  </si>
  <si>
    <t xml:space="preserve">PV1 hand-solder access (no reflow)</t>
  </si>
  <si>
    <t xml:space="preserve">RESOLVED</t>
  </si>
  <si>
    <t xml:space="preserve">RESOLVED. (1) Two hand-solder ACCESS TABS added: Pt (VIN, right) and Nt (GND, left), ~4.0 x 3.0 mm each, extending each dia-3 contact outward past the cell short edge into the ~4.4 mm margin (tab ends ~1.9 mm clear of the board edge) so an iron can reach the joints. (2) THERMAL RELIEF on the GND (-) contact+tab: isolated from the GND pour by a 0.4 mm moat and reconnected by two 0.5 mm N/S spokes - verified on the EMITTED gerber that the (-) assembly is one continuous polygon with the main GND pour (connected, not floating). The (+) pad needs no relief (it is on VIN, not the pour). DRC re-clean (19 nets, 0 shorts); gerbers re-emitted and parsed. PV1 is now fully finalized: geometry (#5) + solderability (#16).</t>
  </si>
  <si>
    <t xml:space="preserve">#17</t>
  </si>
  <si>
    <t xml:space="preserve">Enclosure mounting holes + warning</t>
  </si>
  <si>
    <t xml:space="preserve">Added 4x M2 (dia-2.2) PLATED, GROUNDED mount holes at (3.5,3.0),(47.3,3.0),(3.5,59.0),(47.3,59.0) - a symmetric 43.8 x 56 mm rectangle centred on the board axis. Each: dia-3.6 GND annular land on BOTH layers (merged into the GND pour - verified all four rings share the pour polygon front and back) + dia-3.4 mask opening, so the screws bond the cover to GND. TRADEOFF: PV1 + the two supercaps fill the entire top third (no clear copper above y~59), so the upper pair sits at y59, not the top corners - the cover clamps at the bottom corners and mid-height, leaving the top ~30 mm (solar-cell area) cantilevered. To clamp the top too, PV1 would have to move (relayout) or the enclosure retains the top edge with a lip/clip. Also: the front 'SOLAR or BATTERY, NOT BOTH' warning was rotated vertical to run up the channel between BT1/BT2 (read at assembly; sits under whichever part is populated afterward). DRC clean; plated XLN now 51 holes.</t>
  </si>
  <si>
    <t xml:space="preserve">#18</t>
  </si>
  <si>
    <t xml:space="preserve">Front+back perimeter frame; accents covered</t>
  </si>
  <si>
    <t xml:space="preserve">Removed the two front solar-lead accent strips from the mask -&gt; those two vertical traces are now COVERED (TP6/TP7 stay exposed, so VIN/GND probing is unaffected). Added an exposed-copper perimeter FRAME on BOTH layers: 1.2mm-wide grounded gold border, outer edge 0.5mm in from the board edge, peeking out around the panel area. Built from a rounded-rect centreline cut by a UNIFORM clearance at every obstruction, then buffered with ROUND caps + round joins -&gt; equal ~0.65mm gaps and rounded (not square) ends wherever it crosses the 4 grounded M2 mount rings or the 5 right-edge castellations (the cluster is broken as one gap). BUG FIXED: the frame and the mount-ring mask openings had been unioned only into the preview-only Fmask/Bmask, NOT the emitted Fmask_noqr/Bmask_noqr that feed GTS/GBS - so OSH Park rendered neither (bare black mount holes, no frame). Now unioned into *_noqr, both layers. Verified on the EMITTED gerbers: frame is 100% inside GTS and GBS, 100% over the single GND pour polygon (grounded gold, no bare FR4, no stray net), and all 4 mount rings exposed both sides. DRC clean; no copper added (mask reveal over existing pour).</t>
  </si>
  <si>
    <t xml:space="preserve">#19</t>
  </si>
  <si>
    <t xml:space="preserve">Theme polish: mid-bar, rounded QR/tabs, silk pass</t>
  </si>
  <si>
    <t xml:space="preserve">(1) MID-BORDER committed: grounded gold bar on the y59 screw line, FRONT only (back y59 sits under the supercaps), in the EMITTED mask, walling off the solar/battery zone; 100% over GND pour. (2) QR codes: rounded the outer quiet-zone corners on both (round_corners, r=1.6 modules) - finder patterns + data untouched, still scannable. (3) Solar hand-solder tabs PV1 Pt/Nt: sharp rect -&gt; rounded-rect (new 'rr' pad shape, corner r=30% of short side) in BOTH copper (pcb_route pad_poly) and mask (gerber_export pad_ops). (4) Silk pass (back-focused): functional zone labels ENERGY STORE (supercaps), PWM LEDS (between LED+resistor rows), BALANCER (left of U2), MCU (by U1); + missing SW1 dome ref (front). Full component courtyards/outlines were NOT added - the back is too dense to ring parts without overlapping neighbours' pads. DRC clean (19 nets, 0 shorts); frame still 100% in the emitted mask both layers.</t>
  </si>
  <si>
    <t xml:space="preserve">#20</t>
  </si>
  <si>
    <t xml:space="preserve">Back functional-block framing (ticks/dots/labels)</t>
  </si>
  <si>
    <t xml:space="preserve">Gave the back structure as functional blocks. Solid corner ticks (1.35mm L-brackets) around six blocks: ENERGY STORE (SC1/SC2), BALANCER (U2+C4), PWM LEDS (D2-D5 + R1-R4), CHARGE (D1 VIN-&gt;VS charge diode + C2/C3 VS-rail caps), MCU (U1+C1+J1 UPDI), I2C (JP1). Sparse dotted fill (dia 0.3mm, 1.5mm pitch) in the three circuit zones (BALANCER/PWM/CHARGE) to signal each block reflows as one unit; supercaps + connectors left un-dotted (obvious as units). Added CHARGE + I2C block labels; MCU label moved into its block. New silk = 0.000mm2 on pads (dots avoid a 0.3mm pad keepout; ticks trimmed off pads). Pre-existing ~1.4mm2 silk-on-pad-edge (polarity/ref marks) unchanged + acceptable. DRC clean (19 nets, 0 shorts).</t>
  </si>
  <si>
    <t xml:space="preserve">#21</t>
  </si>
  <si>
    <t xml:space="preserve">Silk cleanup - zero overprint for OSH Park</t>
  </si>
  <si>
    <t xml:space="preserve">Audited and eliminated all silkscreen overlap before fab. (1) Silk-over-exposed-copper was 1.58mm2 on the back in 3 spots: ENERGY STORE label end on a feeder via, BALANCER label on vias below SC1, and the LED + marks clipping the LED pads. Repositioned ENERGY STORE to (24,85.4), BALANCER to (16,48.5), and the LED + anode marks to just left of each anode pad; moved the CHARGE label off the D1 ref to (16.5,35.5). (2) Added a hard global silk clip on BOTH layers (0.10mm pullback) so no silk can ever print over exposed copper (pads, gold art, frame, vias) regardless of future edits. (3) Tightened the six tick boxes to bracket each block's pads and raised the ENERGY STORE bracket above the supercap top pads; clipped block ticks off any text. RESULT: silk-over-copper = 0.0000mm2 both layers, text-on-text = 0.000mm2, ticks-cross-text = 0.000mm2. DRC clean (19 nets, 0 shorts). Front silk unchanged (66 objects).</t>
  </si>
  <si>
    <t xml:space="preserve">#22</t>
  </si>
  <si>
    <t xml:space="preserve">Back I/O instructions + key ratings stamped</t>
  </si>
  <si>
    <t xml:space="preserve">Added brief silk to mark the two headers as intentional I/O (so a viewer does not read them as passive parts) and to stamp the ratings that define the board's design envelope (anti-dispute / CYA): J1 -&gt; 'UPDI PROG' (external-programmer UPDI port to flash U1); JP1 -&gt; 'I2C EXPANSION' (replaced the terse 'I2C' tag); supercap stack -&gt; '5.5V 150mF' + '2x 2.75V 300mF'; LED ballast -&gt; '1k x4'. All values verified against the BOM (SC1/SC2 = Schurter 2.75V / 300mF each in series = 5.5V / ~150mF; R1-R4 = 1k). Placed in blank areas and probed clear of copper and existing silk. silk-over-copper = 0.0000mm2 both layers (the global clip holds); text-on-text = 0.010mm2 (negligible). DRC clean (19 nets, 0 shorts). Front unchanged. — UPDATE (v2.1): R1–R4 revised 1k → 150 Ω (flag #1). The back-silk 'LED ballast' tag still reads '1k x4' on the current board art — re-export it to '150R x4' to match before fab.</t>
  </si>
  <si>
    <t xml:space="preserve">#23</t>
  </si>
  <si>
    <t xml:space="preserve">Back silk aesthetic pass — keep-away spacing + leader lines + edge-bus note</t>
  </si>
  <si>
    <t xml:space="preserve">Spacing/legibility pass so the back silk reads as deliberately placed, not an afterthought. (1) Block corner ticks pulled to 0.22mm off all text (was 0.05mm). (2) Resolved every cramped label pair: J1&lt;-&gt;UPDI PROG and JP1&lt;-&gt;I2C EXPANSION opened from ~0 to ~1.4mm (instructions lifted to clean headers above each block); MCU label moved off the UPDI pin (0.24-&gt;2.14mm) and out of the leader path; BALANCER off D2 (0.31-&gt;0.98mm); PWM LEDS repositioned to 0.70mm pad clearance (was at the 0.10mm clip limit). (3) Leader lines added (instruction -&gt; connector pads), the move-it-off-and-draw-a-line technique: UPDI PROG -&gt; J1 and I2C EXPANSION -&gt; JP1, ~0.14mm wide; verified to cross no refs or pinouts (0.0mm2). (4) Castellated edge labeled 'I2C + PWR' with a leader to the bus, so the right-edge half-holes read as an intentional power + I2C edge connector, not stray plating. silk-over-copper = 0.0000mm2 both layers (global clip holds); DRC clean (19 nets, 0 shorts). Front unchanged. GBO now 318 objects.</t>
  </si>
  <si>
    <t xml:space="preserve">#24</t>
  </si>
  <si>
    <t xml:space="preserve">Back silk — grouping dots removed; component refs pulled inside their group ticks</t>
  </si>
  <si>
    <t xml:space="preserve">Removed the dotted texture fill from the functional blocks (it read as confusing, not as grouping). Relocated every stray component ref so it sits inside its block's corner ticks, adjacent to its part: D2-D5 (LED refs) into the PWM block's central band just below the LEDs, R1-R4 (resistor refs) just above the resistors in the same band; D1/C2/C3 into the CHARGE block's top band above their parts (C3 had been off the right edge); U2 inside the balancer box (left of U2, was off the right edge). D6/D7 spacing made consistent: D7 ref moved from ~11mm below its diode up to bracket the pair symmetrically with D6 (each ref now ~0.7-1.0mm from its own diode). PWM LEDS label lifted into the block's top band. Verified: all relocated refs inside their group box and clear of copper (0.000mm2 overlap); silk-over-copper = 0.0000mm2 both layers; DRC clean (19 nets, 0 shorts). GBO now 278 objects. Note: the CHARGE group label is kept as a side header (the 3mm-tall box is too tight to seat the word inside without crowding D1); component refs are inside as requested.</t>
  </si>
  <si>
    <t xml:space="preserve">#25</t>
  </si>
  <si>
    <t xml:space="preserve">v0 cut scope + v1 deferrals</t>
  </si>
  <si>
    <t xml:space="preserve">Decision</t>
  </si>
  <si>
    <t xml:space="preserve">v0 (REV J) cut scope. Button dual-mode SHIPPED: F12340 footprint already carries the Ø4.9 PA7 touch electrode (PA7=PTC X3/Y3) + GND horseshoe, so it is a build-time choice (snap-dome switch OR bare cap-touch) with no copper change; added 'DOME or TOUCH' front silk. Supercap-V sense = firmware-only (ADC vs internal ref reads VDD=VS rail), no trace. Light-sense VIN-divider and spare-GPIO TP breakouts DEFERRED to v1: both must cross the solid VS rail (y33) into the MCU through the front channel already full of the 4 LED drives + contact block + QRs; not force-routed through verified copper per verification-first policy. v0 uses VDD as a coarse harvest proxy. See v1 punch list.</t>
  </si>
  <si>
    <t xml:space="preserve">#26</t>
  </si>
  <si>
    <t xml:space="preserve">Sourcing pass — MPNs verified + datasheets cross-referenced</t>
  </si>
  <si>
    <t xml:space="preserve">All MPNs verified vs distributor/datasheet. FIX: U1 ATTINY1616-MFR→ATTINY1616-MNR (placeholder→real orderable, DigiKey-confirmed). Confirmed genuine: D1 MMSD301T1G (onsemi 30V Schottky SOD-123), SC1/SC2 SCHURTER 3-153-434 (SCPC 300mF/2.75V), SW1 Snaptron F12340 (F-series 12mm 340gf), BT1/BT2 Keystone 3012 (16mm, series incl CR1632). Added Datasheet column (col L). BT land=Keystone FIG.2 23.2mm. C4 (common) folded into solar total → $30.90.</t>
  </si>
  <si>
    <t xml:space="preserve">#27</t>
  </si>
  <si>
    <t xml:space="preserve">DigiKey cart cross-check (live order form)</t>
  </si>
  <si>
    <t xml:space="preserve">Cross-checked against DigiKey shopping cart 2026-06-16. All MPNs match EXCEPT U1: cart orders ATTINY1616-MFR (real, in-stock, ATTINY1616-MFRCT-ND $0.92) — prior -MNR 'fix' was WRONG (-MFR is not a placeholder), reverted. Added DigiKey P/N column. Updated $/ea to live cart prices: notable SC1/SC2 3-153-434 $6.20→$15.48 (supercaps now ~62% of build); solar build $30.90→~$49.91. C4 (CL05Y105KP6VPN) and cells NOT in cart — C4 must be added. Cart quantities are purchase/spares (U1 2, SW1 100, etc.), BOM Qty stays per-board. BT1/BT2 ordered as 3012TR (36-3012CT-ND).</t>
  </si>
</sst>
</file>

<file path=xl/styles.xml><?xml version="1.0" encoding="utf-8"?>
<styleSheet xmlns="http://schemas.openxmlformats.org/spreadsheetml/2006/main">
  <numFmts count="3">
    <numFmt numFmtId="164" formatCode="General"/>
    <numFmt numFmtId="165" formatCode="\$#,##0.00"/>
    <numFmt numFmtId="166" formatCode="General"/>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9"/>
      <name val="Arial"/>
      <family val="0"/>
      <charset val="1"/>
    </font>
    <font>
      <b val="true"/>
      <sz val="9"/>
      <name val="Arial"/>
      <family val="0"/>
      <charset val="1"/>
    </font>
    <font>
      <b val="true"/>
      <i val="true"/>
      <sz val="9"/>
      <name val="Arial"/>
      <family val="0"/>
      <charset val="1"/>
    </font>
    <font>
      <i val="true"/>
      <sz val="9"/>
      <name val="Arial"/>
      <family val="0"/>
      <charset val="1"/>
    </font>
    <font>
      <i val="true"/>
      <sz val="8"/>
      <color rgb="FF808080"/>
      <name val="Arial"/>
      <family val="0"/>
      <charset val="1"/>
    </font>
  </fonts>
  <fills count="7">
    <fill>
      <patternFill patternType="none"/>
    </fill>
    <fill>
      <patternFill patternType="gray125"/>
    </fill>
    <fill>
      <patternFill patternType="solid">
        <fgColor rgb="FF1F2A44"/>
        <bgColor rgb="FF003366"/>
      </patternFill>
    </fill>
    <fill>
      <patternFill patternType="solid">
        <fgColor rgb="FFE2EFDA"/>
        <bgColor rgb="FFEDEDED"/>
      </patternFill>
    </fill>
    <fill>
      <patternFill patternType="solid">
        <fgColor rgb="FFFFF2CC"/>
        <bgColor rgb="FFFCE4D6"/>
      </patternFill>
    </fill>
    <fill>
      <patternFill patternType="solid">
        <fgColor rgb="FFEDEDED"/>
        <bgColor rgb="FFE2EFDA"/>
      </patternFill>
    </fill>
    <fill>
      <patternFill patternType="solid">
        <fgColor rgb="FFFCE4D6"/>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center" vertical="top" textRotation="0" wrapText="false" indent="0" shrinkToFit="false"/>
      <protection locked="true" hidden="false"/>
    </xf>
    <xf numFmtId="164" fontId="5" fillId="3" borderId="1" xfId="0" applyFont="true" applyBorder="true" applyAlignment="true" applyProtection="false">
      <alignment horizontal="center" vertical="top" textRotation="0" wrapText="false" indent="0" shrinkToFit="false"/>
      <protection locked="true" hidden="false"/>
    </xf>
    <xf numFmtId="164" fontId="5" fillId="4" borderId="1" xfId="0" applyFont="true" applyBorder="true" applyAlignment="true" applyProtection="false">
      <alignment horizontal="center" vertical="top"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5" fontId="6" fillId="0" borderId="0" xfId="0" applyFont="true" applyBorder="false" applyAlignment="true" applyProtection="false">
      <alignment horizontal="center" vertical="top"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top" textRotation="0" wrapText="fals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center"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center" vertical="top"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5" fillId="6"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datasheets/ATtiny1614-16-17-DataSheet-DS40002204A-2.pdf" TargetMode="External"/><Relationship Id="rId2" Type="http://schemas.openxmlformats.org/officeDocument/2006/relationships/hyperlink" Target="datasheets/MMSD301T1-D.PDF" TargetMode="External"/><Relationship Id="rId3" Type="http://schemas.openxmlformats.org/officeDocument/2006/relationships/hyperlink" Target="datasheets/SM141K06L%20DATA%20SHEET%20202007-3.pdf" TargetMode="External"/><Relationship Id="rId4" Type="http://schemas.openxmlformats.org/officeDocument/2006/relationships/hyperlink" Target="datasheets/typ_SCPC-2.pdf" TargetMode="External"/><Relationship Id="rId5" Type="http://schemas.openxmlformats.org/officeDocument/2006/relationships/hyperlink" Target="datasheets/LA%20P47F_EN-2.pdf" TargetMode="External"/><Relationship Id="rId6" Type="http://schemas.openxmlformats.org/officeDocument/2006/relationships/hyperlink" Target="datasheets/tnpw_e3.pdf" TargetMode="External"/><Relationship Id="rId7" Type="http://schemas.openxmlformats.org/officeDocument/2006/relationships/hyperlink" Target="datasheets/CL21B104KBCWPNC.pdf" TargetMode="External"/><Relationship Id="rId8" Type="http://schemas.openxmlformats.org/officeDocument/2006/relationships/hyperlink" Target="datasheets/CL21B105KBFVPNE.pdf" TargetMode="External"/><Relationship Id="rId9" Type="http://schemas.openxmlformats.org/officeDocument/2006/relationships/hyperlink" Target="datasheets/ALD810025-2.pdf" TargetMode="External"/><Relationship Id="rId10" Type="http://schemas.openxmlformats.org/officeDocument/2006/relationships/hyperlink" Target="datasheets/K75p11.pdf" TargetMode="External"/><Relationship Id="rId11" Type="http://schemas.openxmlformats.org/officeDocument/2006/relationships/hyperlink" Target="datasheets/MMSD4148T1-D.PDF" TargetMode="External"/><Relationship Id="rId12" Type="http://schemas.openxmlformats.org/officeDocument/2006/relationships/hyperlink" Target="datasheets/DataSheet_CL05Y105KP6VPN_20260616.pdf" TargetMode="External"/><Relationship Id="rId13" Type="http://schemas.openxmlformats.org/officeDocument/2006/relationships/hyperlink" Target="datasheets/CR1632_Datasheet_EN.pdf"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5"/>
    <col collapsed="false" customWidth="true" hidden="false" outlineLevel="0" max="3" min="3" style="1" width="30"/>
    <col collapsed="false" customWidth="true" hidden="false" outlineLevel="0" max="4" min="4" style="1" width="20"/>
    <col collapsed="false" customWidth="true" hidden="false" outlineLevel="0" max="5" min="5" style="1" width="22"/>
    <col collapsed="false" customWidth="true" hidden="false" outlineLevel="0" max="6" min="6" style="1" width="16"/>
    <col collapsed="false" customWidth="true" hidden="false" outlineLevel="0" max="7" min="7" style="1" width="24"/>
    <col collapsed="false" customWidth="true" hidden="false" outlineLevel="0" max="9" min="8" style="1" width="9"/>
    <col collapsed="false" customWidth="true" hidden="false" outlineLevel="0" max="10" min="10" style="1" width="15"/>
    <col collapsed="false" customWidth="true" hidden="false" outlineLevel="0" max="11" min="11" style="1" width="52"/>
  </cols>
  <sheetData>
    <row r="1" customFormat="false" ht="30" hidden="false" customHeight="true" outlineLevel="0" collapsed="false">
      <c r="A1" s="2" t="s">
        <v>0</v>
      </c>
      <c r="B1" s="2" t="s">
        <v>1</v>
      </c>
      <c r="C1" s="2" t="s">
        <v>2</v>
      </c>
      <c r="D1" s="2" t="s">
        <v>3</v>
      </c>
      <c r="E1" s="2" t="s">
        <v>4</v>
      </c>
      <c r="F1" s="2" t="s">
        <v>5</v>
      </c>
      <c r="G1" s="2" t="s">
        <v>6</v>
      </c>
      <c r="H1" s="2" t="s">
        <v>7</v>
      </c>
      <c r="I1" s="2" t="s">
        <v>8</v>
      </c>
      <c r="J1" s="2" t="s">
        <v>9</v>
      </c>
      <c r="K1" s="2" t="s">
        <v>10</v>
      </c>
      <c r="L1" s="1" t="s">
        <v>11</v>
      </c>
      <c r="M1" s="1" t="s">
        <v>12</v>
      </c>
    </row>
    <row r="2" customFormat="false" ht="21.75" hidden="false" customHeight="true" outlineLevel="0" collapsed="false">
      <c r="A2" s="3" t="s">
        <v>13</v>
      </c>
      <c r="B2" s="4" t="n">
        <v>1</v>
      </c>
      <c r="C2" s="5" t="s">
        <v>14</v>
      </c>
      <c r="D2" s="5" t="s">
        <v>15</v>
      </c>
      <c r="E2" s="5" t="s">
        <v>16</v>
      </c>
      <c r="F2" s="3" t="s">
        <v>17</v>
      </c>
      <c r="G2" s="3" t="s">
        <v>18</v>
      </c>
      <c r="H2" s="6" t="n">
        <v>0.92</v>
      </c>
      <c r="I2" s="6" t="n">
        <f aca="false">B2*H2</f>
        <v>0.92</v>
      </c>
      <c r="J2" s="7" t="s">
        <v>19</v>
      </c>
      <c r="K2" s="5" t="s">
        <v>20</v>
      </c>
      <c r="L2" s="1" t="s">
        <v>21</v>
      </c>
      <c r="M2" s="1" t="s">
        <v>22</v>
      </c>
    </row>
    <row r="3" customFormat="false" ht="21.75" hidden="false" customHeight="true" outlineLevel="0" collapsed="false">
      <c r="A3" s="3" t="s">
        <v>23</v>
      </c>
      <c r="B3" s="4" t="n">
        <v>1</v>
      </c>
      <c r="C3" s="5" t="s">
        <v>24</v>
      </c>
      <c r="D3" s="5" t="s">
        <v>25</v>
      </c>
      <c r="E3" s="5" t="s">
        <v>26</v>
      </c>
      <c r="F3" s="3" t="s">
        <v>27</v>
      </c>
      <c r="G3" s="3" t="s">
        <v>28</v>
      </c>
      <c r="H3" s="6" t="n">
        <v>0.125</v>
      </c>
      <c r="I3" s="6" t="n">
        <f aca="false">B3*H3</f>
        <v>0.125</v>
      </c>
      <c r="J3" s="7" t="s">
        <v>19</v>
      </c>
      <c r="K3" s="5" t="s">
        <v>29</v>
      </c>
      <c r="L3" s="1" t="s">
        <v>30</v>
      </c>
      <c r="M3" s="1" t="s">
        <v>31</v>
      </c>
    </row>
    <row r="4" customFormat="false" ht="42.75" hidden="false" customHeight="true" outlineLevel="0" collapsed="false">
      <c r="A4" s="3" t="s">
        <v>32</v>
      </c>
      <c r="B4" s="4" t="n">
        <v>1</v>
      </c>
      <c r="C4" s="5" t="s">
        <v>33</v>
      </c>
      <c r="D4" s="5" t="s">
        <v>34</v>
      </c>
      <c r="E4" s="5" t="s">
        <v>35</v>
      </c>
      <c r="F4" s="3" t="s">
        <v>36</v>
      </c>
      <c r="G4" s="3" t="s">
        <v>37</v>
      </c>
      <c r="H4" s="6" t="n">
        <v>6.98</v>
      </c>
      <c r="I4" s="6" t="n">
        <f aca="false">B4*H4</f>
        <v>6.98</v>
      </c>
      <c r="J4" s="7" t="s">
        <v>19</v>
      </c>
      <c r="K4" s="5" t="s">
        <v>38</v>
      </c>
      <c r="L4" s="1" t="s">
        <v>39</v>
      </c>
      <c r="M4" s="1" t="s">
        <v>40</v>
      </c>
    </row>
    <row r="5" customFormat="false" ht="42.75" hidden="false" customHeight="true" outlineLevel="0" collapsed="false">
      <c r="A5" s="3" t="s">
        <v>41</v>
      </c>
      <c r="B5" s="4" t="n">
        <v>2</v>
      </c>
      <c r="C5" s="5" t="s">
        <v>42</v>
      </c>
      <c r="D5" s="5" t="s">
        <v>43</v>
      </c>
      <c r="E5" s="5" t="s">
        <v>44</v>
      </c>
      <c r="F5" s="3" t="s">
        <v>45</v>
      </c>
      <c r="G5" s="3" t="s">
        <v>46</v>
      </c>
      <c r="H5" s="6" t="n">
        <v>15.48</v>
      </c>
      <c r="I5" s="6" t="n">
        <f aca="false">B5*H5</f>
        <v>30.96</v>
      </c>
      <c r="J5" s="7" t="s">
        <v>19</v>
      </c>
      <c r="K5" s="5" t="s">
        <v>47</v>
      </c>
      <c r="L5" s="1" t="s">
        <v>48</v>
      </c>
      <c r="M5" s="1" t="s">
        <v>49</v>
      </c>
    </row>
    <row r="6" customFormat="false" ht="42.75" hidden="false" customHeight="true" outlineLevel="0" collapsed="false">
      <c r="A6" s="3" t="s">
        <v>50</v>
      </c>
      <c r="B6" s="4" t="n">
        <v>4</v>
      </c>
      <c r="C6" s="5" t="s">
        <v>51</v>
      </c>
      <c r="D6" s="5" t="s">
        <v>52</v>
      </c>
      <c r="E6" s="5" t="s">
        <v>53</v>
      </c>
      <c r="F6" s="3" t="s">
        <v>54</v>
      </c>
      <c r="G6" s="3" t="s">
        <v>55</v>
      </c>
      <c r="H6" s="6" t="n">
        <v>0.273</v>
      </c>
      <c r="I6" s="6" t="n">
        <f aca="false">B6*H6</f>
        <v>1.092</v>
      </c>
      <c r="J6" s="7" t="s">
        <v>19</v>
      </c>
      <c r="K6" s="5" t="s">
        <v>56</v>
      </c>
      <c r="L6" s="1" t="s">
        <v>57</v>
      </c>
      <c r="M6" s="1" t="s">
        <v>58</v>
      </c>
    </row>
    <row r="7" customFormat="false" ht="42.75" hidden="false" customHeight="true" outlineLevel="0" collapsed="false">
      <c r="A7" s="3" t="s">
        <v>59</v>
      </c>
      <c r="B7" s="4" t="n">
        <v>4</v>
      </c>
      <c r="C7" s="5" t="s">
        <v>60</v>
      </c>
      <c r="D7" s="5" t="s">
        <v>61</v>
      </c>
      <c r="E7" s="5" t="s">
        <v>62</v>
      </c>
      <c r="F7" s="3" t="s">
        <v>63</v>
      </c>
      <c r="G7" s="3" t="s">
        <v>64</v>
      </c>
      <c r="H7" s="6" t="n">
        <v>0.366</v>
      </c>
      <c r="I7" s="6" t="n">
        <f aca="false">B7*H7</f>
        <v>1.464</v>
      </c>
      <c r="J7" s="8" t="s">
        <v>19</v>
      </c>
      <c r="K7" s="5" t="s">
        <v>65</v>
      </c>
      <c r="L7" s="1" t="s">
        <v>66</v>
      </c>
      <c r="M7" s="1" t="s">
        <v>67</v>
      </c>
    </row>
    <row r="8" customFormat="false" ht="21.75" hidden="false" customHeight="true" outlineLevel="0" collapsed="false">
      <c r="A8" s="3" t="s">
        <v>68</v>
      </c>
      <c r="B8" s="4" t="n">
        <v>1</v>
      </c>
      <c r="C8" s="5" t="s">
        <v>69</v>
      </c>
      <c r="D8" s="5" t="s">
        <v>70</v>
      </c>
      <c r="E8" s="5" t="s">
        <v>71</v>
      </c>
      <c r="F8" s="3" t="s">
        <v>72</v>
      </c>
      <c r="G8" s="3" t="s">
        <v>73</v>
      </c>
      <c r="H8" s="6" t="n">
        <v>0.0886</v>
      </c>
      <c r="I8" s="6" t="n">
        <f aca="false">B8*H8</f>
        <v>0.0886</v>
      </c>
      <c r="J8" s="8" t="s">
        <v>19</v>
      </c>
      <c r="K8" s="5" t="s">
        <v>74</v>
      </c>
      <c r="L8" s="1" t="s">
        <v>75</v>
      </c>
      <c r="M8" s="1" t="s">
        <v>76</v>
      </c>
    </row>
    <row r="9" customFormat="false" ht="21.75" hidden="false" customHeight="true" outlineLevel="0" collapsed="false">
      <c r="A9" s="3" t="s">
        <v>77</v>
      </c>
      <c r="B9" s="4" t="n">
        <v>2</v>
      </c>
      <c r="C9" s="5" t="s">
        <v>78</v>
      </c>
      <c r="D9" s="5" t="s">
        <v>79</v>
      </c>
      <c r="E9" s="5" t="s">
        <v>71</v>
      </c>
      <c r="F9" s="3" t="s">
        <v>72</v>
      </c>
      <c r="G9" s="3" t="s">
        <v>80</v>
      </c>
      <c r="H9" s="6" t="n">
        <v>0.092</v>
      </c>
      <c r="I9" s="6" t="n">
        <f aca="false">B9*H9</f>
        <v>0.184</v>
      </c>
      <c r="J9" s="8" t="s">
        <v>19</v>
      </c>
      <c r="K9" s="5" t="s">
        <v>81</v>
      </c>
      <c r="L9" s="1" t="s">
        <v>82</v>
      </c>
      <c r="M9" s="1" t="s">
        <v>83</v>
      </c>
    </row>
    <row r="10" customFormat="false" ht="42.75" hidden="false" customHeight="true" outlineLevel="0" collapsed="false">
      <c r="A10" s="3" t="s">
        <v>84</v>
      </c>
      <c r="B10" s="4" t="n">
        <v>1</v>
      </c>
      <c r="C10" s="5" t="s">
        <v>85</v>
      </c>
      <c r="D10" s="5" t="s">
        <v>86</v>
      </c>
      <c r="E10" s="5" t="s">
        <v>87</v>
      </c>
      <c r="F10" s="3" t="s">
        <v>88</v>
      </c>
      <c r="G10" s="3" t="s">
        <v>89</v>
      </c>
      <c r="H10" s="6" t="n">
        <v>0.3799</v>
      </c>
      <c r="I10" s="6" t="n">
        <f aca="false">B10*H10</f>
        <v>0.3799</v>
      </c>
      <c r="J10" s="7" t="s">
        <v>19</v>
      </c>
      <c r="K10" s="5" t="s">
        <v>90</v>
      </c>
      <c r="L10" s="1" t="s">
        <v>91</v>
      </c>
      <c r="M10" s="1" t="s">
        <v>92</v>
      </c>
    </row>
    <row r="11" customFormat="false" ht="42.75" hidden="false" customHeight="true" outlineLevel="0" collapsed="false">
      <c r="A11" s="3" t="s">
        <v>93</v>
      </c>
      <c r="B11" s="4" t="n">
        <v>1</v>
      </c>
      <c r="C11" s="5" t="s">
        <v>94</v>
      </c>
      <c r="D11" s="5" t="s">
        <v>95</v>
      </c>
      <c r="E11" s="5" t="s">
        <v>96</v>
      </c>
      <c r="F11" s="3" t="s">
        <v>97</v>
      </c>
      <c r="G11" s="3" t="s">
        <v>98</v>
      </c>
      <c r="H11" s="6" t="n">
        <v>7.68</v>
      </c>
      <c r="I11" s="6" t="n">
        <f aca="false">B11*H11</f>
        <v>7.68</v>
      </c>
      <c r="J11" s="7" t="s">
        <v>19</v>
      </c>
      <c r="K11" s="5" t="s">
        <v>99</v>
      </c>
      <c r="L11" s="1" t="s">
        <v>100</v>
      </c>
      <c r="M11" s="1" t="s">
        <v>101</v>
      </c>
    </row>
    <row r="12" customFormat="false" ht="15" hidden="false" customHeight="true" outlineLevel="0" collapsed="false">
      <c r="G12" s="9" t="s">
        <v>102</v>
      </c>
      <c r="I12" s="10" t="n">
        <f aca="false">SUM(I2:I11)+I23</f>
        <v>49.9135</v>
      </c>
      <c r="K12" s="1" t="s">
        <v>103</v>
      </c>
    </row>
    <row r="14" customFormat="false" ht="15" hidden="false" customHeight="true" outlineLevel="0" collapsed="false">
      <c r="A14" s="11" t="s">
        <v>104</v>
      </c>
    </row>
    <row r="15" customFormat="false" ht="15" hidden="false" customHeight="true" outlineLevel="0" collapsed="false">
      <c r="A15" s="12" t="s">
        <v>105</v>
      </c>
      <c r="B15" s="12"/>
      <c r="C15" s="12"/>
      <c r="D15" s="12"/>
      <c r="E15" s="12"/>
      <c r="F15" s="12"/>
      <c r="G15" s="12"/>
      <c r="H15" s="12"/>
      <c r="I15" s="12"/>
      <c r="J15" s="12"/>
      <c r="K15" s="13" t="s">
        <v>106</v>
      </c>
    </row>
    <row r="16" customFormat="false" ht="32.25" hidden="false" customHeight="true" outlineLevel="0" collapsed="false">
      <c r="A16" s="12" t="s">
        <v>107</v>
      </c>
      <c r="B16" s="12"/>
      <c r="C16" s="12"/>
      <c r="D16" s="12"/>
      <c r="E16" s="12"/>
      <c r="F16" s="12"/>
      <c r="G16" s="12"/>
      <c r="H16" s="12"/>
      <c r="I16" s="12"/>
      <c r="J16" s="12"/>
      <c r="K16" s="13" t="s">
        <v>108</v>
      </c>
    </row>
    <row r="17" customFormat="false" ht="21.75" hidden="false" customHeight="true" outlineLevel="0" collapsed="false">
      <c r="A17" s="12" t="s">
        <v>109</v>
      </c>
      <c r="B17" s="12"/>
      <c r="C17" s="12"/>
      <c r="D17" s="12"/>
      <c r="E17" s="12"/>
      <c r="F17" s="12"/>
      <c r="G17" s="12"/>
      <c r="H17" s="12"/>
      <c r="I17" s="12"/>
      <c r="J17" s="12"/>
      <c r="K17" s="13" t="s">
        <v>110</v>
      </c>
    </row>
    <row r="18" customFormat="false" ht="53.25" hidden="false" customHeight="true" outlineLevel="0" collapsed="false">
      <c r="A18" s="12" t="s">
        <v>111</v>
      </c>
      <c r="B18" s="12"/>
      <c r="C18" s="12"/>
      <c r="D18" s="12"/>
      <c r="E18" s="12"/>
      <c r="F18" s="12"/>
      <c r="G18" s="12"/>
      <c r="H18" s="12"/>
      <c r="I18" s="12"/>
      <c r="J18" s="12"/>
      <c r="K18" s="13" t="s">
        <v>112</v>
      </c>
    </row>
    <row r="19" customFormat="false" ht="15" hidden="false" customHeight="true" outlineLevel="0" collapsed="false"/>
    <row r="20" customFormat="false" ht="15" hidden="false" customHeight="true" outlineLevel="0" collapsed="false">
      <c r="A20" s="14" t="s">
        <v>113</v>
      </c>
    </row>
    <row r="21" customFormat="false" ht="84.75" hidden="false" customHeight="true" outlineLevel="0" collapsed="false">
      <c r="A21" s="15" t="s">
        <v>114</v>
      </c>
      <c r="B21" s="16" t="n">
        <v>2</v>
      </c>
      <c r="C21" s="17" t="s">
        <v>115</v>
      </c>
      <c r="D21" s="17" t="s">
        <v>116</v>
      </c>
      <c r="E21" s="18" t="s">
        <v>117</v>
      </c>
      <c r="F21" s="18" t="s">
        <v>118</v>
      </c>
      <c r="G21" s="18" t="s">
        <v>119</v>
      </c>
      <c r="H21" s="16" t="n">
        <v>0.579</v>
      </c>
      <c r="I21" s="18" t="n">
        <f aca="false">B21*H21</f>
        <v>1.158</v>
      </c>
      <c r="J21" s="18" t="s">
        <v>120</v>
      </c>
      <c r="K21" s="17" t="s">
        <v>121</v>
      </c>
      <c r="L21" s="1" t="s">
        <v>122</v>
      </c>
      <c r="M21" s="1" t="s">
        <v>123</v>
      </c>
    </row>
    <row r="22" customFormat="false" ht="42.75" hidden="false" customHeight="true" outlineLevel="0" collapsed="false">
      <c r="A22" s="15" t="s">
        <v>124</v>
      </c>
      <c r="B22" s="16" t="n">
        <v>2</v>
      </c>
      <c r="C22" s="17" t="s">
        <v>125</v>
      </c>
      <c r="D22" s="17" t="s">
        <v>126</v>
      </c>
      <c r="E22" s="18" t="s">
        <v>26</v>
      </c>
      <c r="F22" s="18" t="s">
        <v>27</v>
      </c>
      <c r="G22" s="18" t="s">
        <v>127</v>
      </c>
      <c r="H22" s="16" t="n">
        <v>0.089</v>
      </c>
      <c r="I22" s="18" t="n">
        <f aca="false">B22*H22</f>
        <v>0.178</v>
      </c>
      <c r="J22" s="18" t="s">
        <v>19</v>
      </c>
      <c r="K22" s="17" t="s">
        <v>128</v>
      </c>
      <c r="L22" s="1" t="s">
        <v>129</v>
      </c>
      <c r="M22" s="1" t="s">
        <v>130</v>
      </c>
    </row>
    <row r="23" customFormat="false" ht="74.25" hidden="false" customHeight="true" outlineLevel="0" collapsed="false">
      <c r="A23" s="15" t="s">
        <v>131</v>
      </c>
      <c r="B23" s="16" t="n">
        <v>1</v>
      </c>
      <c r="C23" s="17" t="s">
        <v>132</v>
      </c>
      <c r="D23" s="17" t="s">
        <v>133</v>
      </c>
      <c r="E23" s="18" t="s">
        <v>134</v>
      </c>
      <c r="F23" s="18" t="s">
        <v>72</v>
      </c>
      <c r="G23" s="18" t="s">
        <v>135</v>
      </c>
      <c r="H23" s="16" t="n">
        <v>0.04</v>
      </c>
      <c r="I23" s="18" t="n">
        <f aca="false">B23*H23</f>
        <v>0.04</v>
      </c>
      <c r="J23" s="18" t="s">
        <v>19</v>
      </c>
      <c r="K23" s="17" t="s">
        <v>136</v>
      </c>
      <c r="L23" s="1" t="s">
        <v>137</v>
      </c>
    </row>
    <row r="24" customFormat="false" ht="53.25" hidden="false" customHeight="true" outlineLevel="0" collapsed="false">
      <c r="A24" s="15" t="s">
        <v>138</v>
      </c>
      <c r="B24" s="16" t="n">
        <v>2</v>
      </c>
      <c r="C24" s="17" t="s">
        <v>139</v>
      </c>
      <c r="D24" s="17" t="s">
        <v>140</v>
      </c>
      <c r="E24" s="18" t="s">
        <v>141</v>
      </c>
      <c r="F24" s="18" t="s">
        <v>15</v>
      </c>
      <c r="G24" s="18" t="s">
        <v>142</v>
      </c>
      <c r="H24" s="16" t="n">
        <v>0.55</v>
      </c>
      <c r="I24" s="18" t="n">
        <f aca="false">B24*H24</f>
        <v>1.1</v>
      </c>
      <c r="J24" s="18" t="s">
        <v>143</v>
      </c>
      <c r="K24" s="17" t="s">
        <v>144</v>
      </c>
      <c r="L24" s="1" t="s">
        <v>145</v>
      </c>
    </row>
    <row r="25" customFormat="false" ht="15" hidden="false" customHeight="true" outlineLevel="0" collapsed="false">
      <c r="G25" s="9" t="s">
        <v>146</v>
      </c>
      <c r="I25" s="19" t="n">
        <f aca="false">SUM(I21:I24)</f>
        <v>2.476</v>
      </c>
      <c r="K25" s="1" t="s">
        <v>147</v>
      </c>
    </row>
    <row r="27" customFormat="false" ht="15" hidden="false" customHeight="true" outlineLevel="0" collapsed="false">
      <c r="A27" s="20" t="s">
        <v>148</v>
      </c>
    </row>
  </sheetData>
  <hyperlinks>
    <hyperlink ref="L2" r:id="rId1" display="datasheets/ATtiny1614-16-17-DataSheet-DS40002204A-2.pdf"/>
    <hyperlink ref="L3" r:id="rId2" display="datasheets/MMSD301T1-D.PDF"/>
    <hyperlink ref="L4" r:id="rId3" display="datasheets/SM141K06L DATA SHEET 202007-3.pdf"/>
    <hyperlink ref="L5" r:id="rId4" display="datasheets/typ_SCPC-2.pdf"/>
    <hyperlink ref="L6" r:id="rId5" display="datasheets/LA P47F_EN-2.pdf"/>
    <hyperlink ref="L7" r:id="rId6" display="datasheets/tnpw_e3.pdf"/>
    <hyperlink ref="L8" r:id="rId7" display="datasheets/CL21B104KBCWPNC.pdf"/>
    <hyperlink ref="L9" r:id="rId8" display="datasheets/CL21B105KBFVPNE.pdf"/>
    <hyperlink ref="L11" r:id="rId9" display="datasheets/ALD810025-2.pdf"/>
    <hyperlink ref="L21" r:id="rId10" display="datasheets/K75p11.pdf"/>
    <hyperlink ref="L22" r:id="rId11" display="datasheets/MMSD4148T1-D.PDF"/>
    <hyperlink ref="L23" r:id="rId12" display="datasheets/DataSheet_CL05Y105KP6VPN_20260616.pdf"/>
    <hyperlink ref="L24" r:id="rId13" display="datasheets/CR1632_Datasheet_EN.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0"/>
    <col collapsed="false" customWidth="true" hidden="false" outlineLevel="0" max="3" min="3" style="1" width="18"/>
    <col collapsed="false" customWidth="true" hidden="false" outlineLevel="0" max="4" min="4" style="1" width="95"/>
  </cols>
  <sheetData>
    <row r="1" customFormat="false" ht="15" hidden="false" customHeight="true" outlineLevel="0" collapsed="false">
      <c r="A1" s="2" t="s">
        <v>149</v>
      </c>
      <c r="B1" s="2" t="s">
        <v>150</v>
      </c>
      <c r="C1" s="2" t="s">
        <v>151</v>
      </c>
      <c r="D1" s="2" t="s">
        <v>152</v>
      </c>
    </row>
    <row r="2" customFormat="false" ht="42.75" hidden="false" customHeight="true" outlineLevel="0" collapsed="false">
      <c r="A2" s="4" t="n">
        <v>1</v>
      </c>
      <c r="B2" s="5" t="s">
        <v>153</v>
      </c>
      <c r="C2" s="8" t="s">
        <v>154</v>
      </c>
      <c r="D2" s="5" t="s">
        <v>155</v>
      </c>
    </row>
    <row r="3" customFormat="false" ht="15" hidden="false" customHeight="true" outlineLevel="0" collapsed="false">
      <c r="A3" s="4" t="n">
        <v>2</v>
      </c>
      <c r="B3" s="5" t="s">
        <v>156</v>
      </c>
      <c r="C3" s="8" t="s">
        <v>154</v>
      </c>
      <c r="D3" s="5" t="s">
        <v>157</v>
      </c>
    </row>
    <row r="4" customFormat="false" ht="21.75" hidden="false" customHeight="true" outlineLevel="0" collapsed="false">
      <c r="A4" s="4" t="n">
        <v>3</v>
      </c>
      <c r="B4" s="5" t="s">
        <v>158</v>
      </c>
      <c r="C4" s="8" t="s">
        <v>154</v>
      </c>
      <c r="D4" s="5" t="s">
        <v>159</v>
      </c>
    </row>
    <row r="5" customFormat="false" ht="32.25" hidden="false" customHeight="true" outlineLevel="0" collapsed="false">
      <c r="A5" s="4" t="n">
        <v>4</v>
      </c>
      <c r="B5" s="5" t="s">
        <v>160</v>
      </c>
      <c r="C5" s="21" t="s">
        <v>161</v>
      </c>
      <c r="D5" s="5" t="s">
        <v>162</v>
      </c>
    </row>
    <row r="6" customFormat="false" ht="21.75" hidden="false" customHeight="true" outlineLevel="0" collapsed="false">
      <c r="A6" s="4" t="n">
        <v>5</v>
      </c>
      <c r="B6" s="5" t="s">
        <v>163</v>
      </c>
      <c r="C6" s="21" t="s">
        <v>161</v>
      </c>
      <c r="D6" s="5" t="s">
        <v>164</v>
      </c>
    </row>
    <row r="7" customFormat="false" ht="32.25" hidden="false" customHeight="true" outlineLevel="0" collapsed="false">
      <c r="A7" s="4" t="n">
        <v>6</v>
      </c>
      <c r="B7" s="5" t="s">
        <v>165</v>
      </c>
      <c r="C7" s="21" t="s">
        <v>166</v>
      </c>
      <c r="D7" s="5" t="s">
        <v>167</v>
      </c>
    </row>
    <row r="8" customFormat="false" ht="21.75" hidden="false" customHeight="true" outlineLevel="0" collapsed="false">
      <c r="A8" s="4" t="n">
        <v>7</v>
      </c>
      <c r="B8" s="5" t="s">
        <v>168</v>
      </c>
      <c r="C8" s="7" t="s">
        <v>169</v>
      </c>
      <c r="D8" s="5" t="s">
        <v>170</v>
      </c>
    </row>
    <row r="9" customFormat="false" ht="21.75" hidden="false" customHeight="true" outlineLevel="0" collapsed="false">
      <c r="A9" s="4" t="n">
        <v>8</v>
      </c>
      <c r="B9" s="5" t="s">
        <v>171</v>
      </c>
      <c r="C9" s="7" t="s">
        <v>169</v>
      </c>
      <c r="D9" s="5" t="s">
        <v>172</v>
      </c>
    </row>
    <row r="10" customFormat="false" ht="53.25" hidden="false" customHeight="true" outlineLevel="0" collapsed="false">
      <c r="A10" s="4" t="s">
        <v>173</v>
      </c>
      <c r="B10" s="5" t="s">
        <v>174</v>
      </c>
      <c r="C10" s="7" t="s">
        <v>175</v>
      </c>
      <c r="D10" s="5" t="s">
        <v>176</v>
      </c>
    </row>
    <row r="11" customFormat="false" ht="32.25" hidden="false" customHeight="true" outlineLevel="0" collapsed="false">
      <c r="A11" s="4" t="s">
        <v>177</v>
      </c>
      <c r="B11" s="5" t="s">
        <v>178</v>
      </c>
      <c r="C11" s="7" t="s">
        <v>169</v>
      </c>
      <c r="D11" s="5" t="s">
        <v>179</v>
      </c>
    </row>
    <row r="12" customFormat="false" ht="21.75" hidden="false" customHeight="true" outlineLevel="0" collapsed="false">
      <c r="A12" s="4" t="s">
        <v>180</v>
      </c>
      <c r="B12" s="5" t="s">
        <v>181</v>
      </c>
      <c r="C12" s="7" t="s">
        <v>182</v>
      </c>
      <c r="D12" s="5" t="s">
        <v>183</v>
      </c>
    </row>
    <row r="13" customFormat="false" ht="21.75" hidden="false" customHeight="true" outlineLevel="0" collapsed="false">
      <c r="A13" s="4" t="s">
        <v>184</v>
      </c>
      <c r="B13" s="5" t="s">
        <v>185</v>
      </c>
      <c r="C13" s="7" t="s">
        <v>186</v>
      </c>
      <c r="D13" s="5" t="s">
        <v>187</v>
      </c>
    </row>
    <row r="14" customFormat="false" ht="42.75" hidden="false" customHeight="true" outlineLevel="0" collapsed="false">
      <c r="A14" s="16" t="s">
        <v>188</v>
      </c>
      <c r="B14" s="17" t="s">
        <v>189</v>
      </c>
      <c r="C14" s="17" t="s">
        <v>161</v>
      </c>
      <c r="D14" s="17" t="s">
        <v>190</v>
      </c>
    </row>
    <row r="15" customFormat="false" ht="42.75" hidden="false" customHeight="true" outlineLevel="0" collapsed="false">
      <c r="A15" s="16" t="s">
        <v>191</v>
      </c>
      <c r="B15" s="17" t="s">
        <v>192</v>
      </c>
      <c r="C15" s="17" t="s">
        <v>193</v>
      </c>
      <c r="D15" s="17" t="s">
        <v>194</v>
      </c>
    </row>
    <row r="16" customFormat="false" ht="15" hidden="false" customHeight="true" outlineLevel="0" collapsed="false">
      <c r="A16" s="1" t="s">
        <v>195</v>
      </c>
      <c r="B16" s="1" t="s">
        <v>196</v>
      </c>
      <c r="C16" s="1" t="s">
        <v>197</v>
      </c>
      <c r="D16" s="1" t="s">
        <v>198</v>
      </c>
    </row>
    <row r="17" customFormat="false" ht="15" hidden="false" customHeight="true" outlineLevel="0" collapsed="false">
      <c r="A17" s="1" t="s">
        <v>199</v>
      </c>
      <c r="B17" s="1" t="s">
        <v>200</v>
      </c>
      <c r="C17" s="1" t="s">
        <v>201</v>
      </c>
      <c r="D17" s="1" t="s">
        <v>202</v>
      </c>
    </row>
    <row r="18" customFormat="false" ht="15" hidden="false" customHeight="true" outlineLevel="0" collapsed="false">
      <c r="A18" s="1" t="s">
        <v>203</v>
      </c>
      <c r="B18" s="1" t="s">
        <v>204</v>
      </c>
      <c r="C18" s="1" t="s">
        <v>201</v>
      </c>
      <c r="D18" s="1" t="s">
        <v>205</v>
      </c>
    </row>
    <row r="19" customFormat="false" ht="15" hidden="false" customHeight="true" outlineLevel="0" collapsed="false">
      <c r="A19" s="1" t="s">
        <v>206</v>
      </c>
      <c r="B19" s="1" t="s">
        <v>207</v>
      </c>
      <c r="C19" s="1" t="s">
        <v>201</v>
      </c>
      <c r="D19" s="1" t="s">
        <v>208</v>
      </c>
    </row>
    <row r="20" customFormat="false" ht="15" hidden="false" customHeight="true" outlineLevel="0" collapsed="false">
      <c r="A20" s="1" t="s">
        <v>209</v>
      </c>
      <c r="B20" s="1" t="s">
        <v>210</v>
      </c>
      <c r="C20" s="1" t="s">
        <v>197</v>
      </c>
      <c r="D20" s="1" t="s">
        <v>211</v>
      </c>
    </row>
    <row r="21" customFormat="false" ht="15" hidden="false" customHeight="true" outlineLevel="0" collapsed="false">
      <c r="A21" s="1" t="s">
        <v>212</v>
      </c>
      <c r="B21" s="1" t="s">
        <v>213</v>
      </c>
      <c r="C21" s="1" t="s">
        <v>197</v>
      </c>
      <c r="D21" s="1" t="s">
        <v>214</v>
      </c>
    </row>
    <row r="22" customFormat="false" ht="15" hidden="false" customHeight="true" outlineLevel="0" collapsed="false">
      <c r="A22" s="1" t="s">
        <v>215</v>
      </c>
      <c r="B22" s="1" t="s">
        <v>216</v>
      </c>
      <c r="C22" s="1" t="s">
        <v>197</v>
      </c>
      <c r="D22" s="1" t="s">
        <v>217</v>
      </c>
    </row>
    <row r="23" customFormat="false" ht="15" hidden="false" customHeight="true" outlineLevel="0" collapsed="false">
      <c r="A23" s="1" t="s">
        <v>218</v>
      </c>
      <c r="B23" s="1" t="s">
        <v>219</v>
      </c>
      <c r="C23" s="1" t="s">
        <v>197</v>
      </c>
      <c r="D23" s="1" t="s">
        <v>220</v>
      </c>
    </row>
    <row r="24" customFormat="false" ht="15" hidden="false" customHeight="true" outlineLevel="0" collapsed="false">
      <c r="A24" s="1" t="s">
        <v>221</v>
      </c>
      <c r="B24" s="1" t="s">
        <v>222</v>
      </c>
      <c r="C24" s="1" t="s">
        <v>197</v>
      </c>
      <c r="D24" s="1" t="s">
        <v>223</v>
      </c>
    </row>
    <row r="25" customFormat="false" ht="15" hidden="false" customHeight="true" outlineLevel="0" collapsed="false">
      <c r="A25" s="1" t="s">
        <v>224</v>
      </c>
      <c r="B25" s="1" t="s">
        <v>225</v>
      </c>
      <c r="C25" s="1" t="s">
        <v>197</v>
      </c>
      <c r="D25" s="1" t="s">
        <v>226</v>
      </c>
    </row>
    <row r="26" customFormat="false" ht="15" hidden="false" customHeight="true" outlineLevel="0" collapsed="false">
      <c r="A26" s="1" t="s">
        <v>227</v>
      </c>
      <c r="B26" s="1" t="s">
        <v>228</v>
      </c>
      <c r="C26" s="1" t="s">
        <v>229</v>
      </c>
      <c r="D26" s="1" t="s">
        <v>230</v>
      </c>
    </row>
    <row r="27" customFormat="false" ht="15" hidden="false" customHeight="true" outlineLevel="0" collapsed="false">
      <c r="A27" s="1" t="s">
        <v>231</v>
      </c>
      <c r="B27" s="1" t="s">
        <v>232</v>
      </c>
      <c r="C27" s="1" t="s">
        <v>229</v>
      </c>
      <c r="D27" s="1" t="s">
        <v>233</v>
      </c>
    </row>
    <row r="28" customFormat="false" ht="15" hidden="false" customHeight="true" outlineLevel="0" collapsed="false">
      <c r="A28" s="1" t="s">
        <v>234</v>
      </c>
      <c r="B28" s="1" t="s">
        <v>235</v>
      </c>
      <c r="C28" s="1" t="s">
        <v>229</v>
      </c>
      <c r="D28" s="1" t="s">
        <v>236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2026-06-14T22:48:54Z</dcterms:created>
  <dc:creator>openpyxl</dc:creator>
  <dc:description/>
  <dc:language>en-US</dc:language>
  <cp:lastModifiedBy/>
  <dcterms:modified xsi:type="dcterms:W3CDTF">2026-06-26T13:50:05Z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