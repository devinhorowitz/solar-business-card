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giKey upload" sheetId="1" state="visible" r:id="rId3"/>
    <sheet name="BOM (detail)" sheetId="2" state="visible" r:id="rId4"/>
    <sheet name="Notes &amp; sourc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<sst xmlns="http://schemas.openxmlformats.org/spreadsheetml/2006/main" count="293" uniqueCount="184">
  <si>
    <t xml:space="preserve">Quantity</t>
  </si>
  <si>
    <t xml:space="preserve">Manufacturer Part Number</t>
  </si>
  <si>
    <t xml:space="preserve">Reference</t>
  </si>
  <si>
    <t xml:space="preserve">AVR64DD28-I/STX</t>
  </si>
  <si>
    <t xml:space="preserve">U1</t>
  </si>
  <si>
    <t xml:space="preserve">MMSD301T1G</t>
  </si>
  <si>
    <t xml:space="preserve">D1, D9</t>
  </si>
  <si>
    <t xml:space="preserve">SM141K06TF</t>
  </si>
  <si>
    <t xml:space="preserve">PV1, PV2</t>
  </si>
  <si>
    <t xml:space="preserve">3-153-438</t>
  </si>
  <si>
    <t xml:space="preserve">SC1, SC2, SC3, SC4</t>
  </si>
  <si>
    <t xml:space="preserve">ALD910025SALI</t>
  </si>
  <si>
    <t xml:space="preserve">U2</t>
  </si>
  <si>
    <t xml:space="preserve">LA P47F-V2BB-24-3B5A-30-R18-Z</t>
  </si>
  <si>
    <t xml:space="preserve">D2, D3, D4, D5</t>
  </si>
  <si>
    <t xml:space="preserve">TNPW1206150RFEEA</t>
  </si>
  <si>
    <t xml:space="preserve">R1, R2, R3, R4</t>
  </si>
  <si>
    <t xml:space="preserve">CL21B104KBCWPNC</t>
  </si>
  <si>
    <t xml:space="preserve">C1</t>
  </si>
  <si>
    <t xml:space="preserve">C2, C3</t>
  </si>
  <si>
    <t xml:space="preserve">CL21A105KBCLNNC</t>
  </si>
  <si>
    <t xml:space="preserve">C4</t>
  </si>
  <si>
    <t xml:space="preserve">CL21B103KBANNNC</t>
  </si>
  <si>
    <t xml:space="preserve">C5</t>
  </si>
  <si>
    <t xml:space="preserve">RC0805FR-071ML</t>
  </si>
  <si>
    <t xml:space="preserve">R5, R6</t>
  </si>
  <si>
    <t xml:space="preserve">LIS2DH12TR</t>
  </si>
  <si>
    <t xml:space="preserve">U3</t>
  </si>
  <si>
    <t xml:space="preserve">C6</t>
  </si>
  <si>
    <t xml:space="preserve">BCP5316MTWG</t>
  </si>
  <si>
    <t xml:space="preserve">Q1</t>
  </si>
  <si>
    <t xml:space="preserve">TLV431BCDBZR</t>
  </si>
  <si>
    <t xml:space="preserve">U4</t>
  </si>
  <si>
    <t xml:space="preserve">RC0805FR-071M8L</t>
  </si>
  <si>
    <t xml:space="preserve">R7</t>
  </si>
  <si>
    <t xml:space="preserve">R8</t>
  </si>
  <si>
    <t xml:space="preserve">RC0805FR-071KL</t>
  </si>
  <si>
    <t xml:space="preserve">R9</t>
  </si>
  <si>
    <t xml:space="preserve">C7</t>
  </si>
  <si>
    <t xml:space="preserve">RC0805FR-074K7L</t>
  </si>
  <si>
    <t xml:space="preserve">R10, R11</t>
  </si>
  <si>
    <t xml:space="preserve">RC0805JR-070RL</t>
  </si>
  <si>
    <t xml:space="preserve">SJ1</t>
  </si>
  <si>
    <t xml:space="preserve">RC0805FR-07220RL</t>
  </si>
  <si>
    <t xml:space="preserve">R12</t>
  </si>
  <si>
    <t xml:space="preserve">--</t>
  </si>
  <si>
    <t xml:space="preserve">SW2</t>
  </si>
  <si>
    <t xml:space="preserve">Ref(s)</t>
  </si>
  <si>
    <t xml:space="preserve">Qty</t>
  </si>
  <si>
    <t xml:space="preserve">Function</t>
  </si>
  <si>
    <t xml:space="preserve">Value</t>
  </si>
  <si>
    <t xml:space="preserve">Package</t>
  </si>
  <si>
    <t xml:space="preserve">Mfr</t>
  </si>
  <si>
    <t xml:space="preserve">MPN (orderable)</t>
  </si>
  <si>
    <t xml:space="preserve">DigiKey P/N</t>
  </si>
  <si>
    <t xml:space="preserve">≈$/ea*</t>
  </si>
  <si>
    <t xml:space="preserve">Ext $</t>
  </si>
  <si>
    <t xml:space="preserve">Replaces</t>
  </si>
  <si>
    <t xml:space="preserve">Notes / flags</t>
  </si>
  <si>
    <t xml:space="preserve">MCU (AVR-DD): 4 HW-PWM LED drives, tap-wake (accel INT), MVIO I2C, ADC light-sense, UPDI</t>
  </si>
  <si>
    <t xml:space="preserve">—</t>
  </si>
  <si>
    <t xml:space="preserve">28-VQFN 4x4</t>
  </si>
  <si>
    <t xml:space="preserve">Microchip</t>
  </si>
  <si>
    <t xml:space="preserve">150-AVR64DD28-I/STX-ND</t>
  </si>
  <si>
    <t xml:space="preserve">ATtiny1616 (v0)</t>
  </si>
  <si>
    <t xml:space="preserve">STX = VQFN28. SSOP-28 (-I/SS) is the leaded option. FW: BODLEVEL ~2.6 V, PMODE=AUTO.</t>
  </si>
  <si>
    <t xml:space="preserve">Solar blocking diode, one per panel (PV1-&gt;D1-&gt;VS, PV2-&gt;D9-&gt;VS)</t>
  </si>
  <si>
    <t xml:space="preserve">Schottky Vf~0.3-0.6 V</t>
  </si>
  <si>
    <t xml:space="preserve">SOD-123</t>
  </si>
  <si>
    <t xml:space="preserve">onsemi</t>
  </si>
  <si>
    <t xml:space="preserve">MMSD301T1GOSCT-ND</t>
  </si>
  <si>
    <t xml:space="preserve">D9 added v2 (per-panel: half-shade on one panel cannot back-drive the other through VS). Same part as D1.</t>
  </si>
  <si>
    <t xml:space="preserve">Indoor solar cell x2 -- top + bottom thirds, wired parallel (charges the supercap stack)</t>
  </si>
  <si>
    <t xml:space="preserve">Voc 4.15 V, 184 mW</t>
  </si>
  <si>
    <t xml:space="preserve">42x23x1.5 mm</t>
  </si>
  <si>
    <t xml:space="preserve">ANYSOLAR</t>
  </si>
  <si>
    <t xml:space="preserve">2994-SM141K06TF-ND</t>
  </si>
  <si>
    <t xml:space="preserve">coin-battery option (BT1/BT2 + D6/D7); was SM141K06L (2.1 mm L)</t>
  </si>
  <si>
    <t xml:space="preserve">Sole source. TF = 1.5 mm (flatter than the 2.1 mm L, same cell). PV1 top + PV2 bottom, parallel. Hand-solder only (&lt;260 C / 2 s).</t>
  </si>
  <si>
    <t xml:space="preserve">Energy storage -- 2P2S = 1 F @ 5.5 V on one MID node (U2 balances)</t>
  </si>
  <si>
    <t xml:space="preserve">2.75 V, 1 F ea</t>
  </si>
  <si>
    <t xml:space="preserve">28.5x17 SMD</t>
  </si>
  <si>
    <t xml:space="preserve">SCHURTER</t>
  </si>
  <si>
    <t xml:space="preserve">486-3-153-438-ND</t>
  </si>
  <si>
    <t xml:space="preserve">2x WS10 3-153-434 (v0)</t>
  </si>
  <si>
    <t xml:space="preserve">Under-body flat pads. Hand-solder.</t>
  </si>
  <si>
    <t xml:space="preserve">Supercap balancer -- dual SAB MOSFET across the MID node</t>
  </si>
  <si>
    <t xml:space="preserve">Dual SAB, Vt 2.50 V</t>
  </si>
  <si>
    <t xml:space="preserve">SOIC-8</t>
  </si>
  <si>
    <t xml:space="preserve">Advanced Linear</t>
  </si>
  <si>
    <t xml:space="preserve">ALD910025SALI-ND</t>
  </si>
  <si>
    <t xml:space="preserve">Dormant at the clamped rail. DS: ALD81-910025 (ALD810025-2.pdf, covers the SAL 8-pin dual; pin2=GN1,3=DN1,4=SN1 / 5=SN2/V-,6=DN2,7=GN2,8=V+,1=IC-&gt;V-).</t>
  </si>
  <si>
    <t xml:space="preserve">Glow LEDs -- reverse-mount through the FR4 DRH window</t>
  </si>
  <si>
    <t xml:space="preserve">Amber 617 nm, Vf~2.25 V</t>
  </si>
  <si>
    <t xml:space="preserve">PointLED 2-SMD</t>
  </si>
  <si>
    <t xml:space="preserve">ams OSRAM</t>
  </si>
  <si>
    <t xml:space="preserve">475-LAP47F-V2BB-24-3B5A-30-R18-ZCT-ND</t>
  </si>
  <si>
    <t xml:space="preserve">-3B5A Vf bin.</t>
  </si>
  <si>
    <t xml:space="preserve">LED ballast -- one per LED, per-LED low-side PWM</t>
  </si>
  <si>
    <t xml:space="preserve">150 Ohm +/-1%</t>
  </si>
  <si>
    <t xml:space="preserve">1206</t>
  </si>
  <si>
    <t xml:space="preserve">Vishay Dale</t>
  </si>
  <si>
    <t xml:space="preserve">(by MPN)</t>
  </si>
  <si>
    <t xml:space="preserve">150R = LED-current floor for the accel-clamped VS rail (~3.47V). Peak ~= (3.5 - Vf~2.0 - V_OL~0.2)/150 ~= 9mA/LED; ~4x margin to the AVR DD +/-40mA pin abs-max; ~36mA total on PORTA with all 4 lit (OK). PWM on PA0-PA3 trims brightness/runtime BELOW this ceiling. Supersedes 1k, which was sized for a 5.5V rail (dropped to keep VS under the accel's 3.6V max). Trim window ~100-220R.</t>
  </si>
  <si>
    <t xml:space="preserve">MCU VDD decouple (pin 18)</t>
  </si>
  <si>
    <t xml:space="preserve">0.1 uF X7R 50 V</t>
  </si>
  <si>
    <t xml:space="preserve">0805</t>
  </si>
  <si>
    <t xml:space="preserve">Samsung</t>
  </si>
  <si>
    <t xml:space="preserve">1276-6557-1-ND</t>
  </si>
  <si>
    <t xml:space="preserve">Order the -1- Cut Tape (1276-6557-1-ND); a BOM upload by MPN defaults to the -2- full reel (MOQ 4000, no qty-1 price). Same for C2/C3.</t>
  </si>
  <si>
    <t xml:space="preserve">MCU VDD pin 24 + VDDIO2 decouple</t>
  </si>
  <si>
    <t xml:space="preserve">1 uF CL21B105KBFVPNE (v0 VS-bypass)</t>
  </si>
  <si>
    <t xml:space="preserve">Role reassigned to per-pin decoupling.</t>
  </si>
  <si>
    <t xml:space="preserve">VS-rail bulk bypass</t>
  </si>
  <si>
    <t xml:space="preserve">1 uF X5R 50 V</t>
  </si>
  <si>
    <t xml:space="preserve">CL05Y105KP6VPN, 0402 (v0 intent)</t>
  </si>
  <si>
    <t xml:space="preserve">Upsized 0603-&gt;0805 for hand-soldering (CL21A105KBCLNNC, 1uF 50V X5R, in stock); X5R is fine for a bypass. DS: CL21A105KBCLNNC Spec.pdf.</t>
  </si>
  <si>
    <t xml:space="preserve">VSENSE ADC filter (VSENSE-&gt;GND), RC with R5/R6 into PD2</t>
  </si>
  <si>
    <t xml:space="preserve">10 nF X7R 50 V</t>
  </si>
  <si>
    <t xml:space="preserve">— (added v1)</t>
  </si>
  <si>
    <t xml:space="preserve">103 = 10 nF. DigiKey-confirmed PN.</t>
  </si>
  <si>
    <t xml:space="preserve">Light-sense divider (VIN-&gt;VSENSE-&gt;GND)</t>
  </si>
  <si>
    <t xml:space="preserve">1 MOhm +/-1%</t>
  </si>
  <si>
    <t xml:space="preserve">Yageo</t>
  </si>
  <si>
    <t xml:space="preserve">1M/1M -&gt; VSENSE ~= VIN/2 &lt; VDD.</t>
  </si>
  <si>
    <t xml:space="preserve">Accelerometer -- tap / wake on I2C (INT1-&gt;PF1, INT2-&gt;PF0, addr 0x18)</t>
  </si>
  <si>
    <t xml:space="preserve">+/-2-16 g, 1.71-3.6 V</t>
  </si>
  <si>
    <t xml:space="preserve">LGA-12 2x2</t>
  </si>
  <si>
    <t xml:space="preserve">STMicroelectronics</t>
  </si>
  <si>
    <t xml:space="preserve">497-14851-1-ND</t>
  </si>
  <si>
    <t xml:space="preserve">M1 keepout reservation</t>
  </si>
  <si>
    <t xml:space="preserve">3.6 V max -&gt; the VS clamp keeps VS ~= 3.42 V (no LDO).</t>
  </si>
  <si>
    <t xml:space="preserve">Accelerometer Vdd decouple</t>
  </si>
  <si>
    <t xml:space="preserve">— (added v2)</t>
  </si>
  <si>
    <t xml:space="preserve">Clamp PNP pass -- shunts VS excess to GND (E-&gt;VS, B-&gt;CLBASE, C-&gt;GND)</t>
  </si>
  <si>
    <t xml:space="preserve">PNP 80 V 1 A</t>
  </si>
  <si>
    <t xml:space="preserve">3-WDFNW (2x2)</t>
  </si>
  <si>
    <t xml:space="preserve">DK# 25602738 (by MPN)</t>
  </si>
  <si>
    <t xml:space="preserve">BCX53-16 / SOT-89 -- whole line went out of stock</t>
  </si>
  <si>
    <t xml:space="preserve">REWORK to WDFNW3 2x2 land (onsemi case 515AA). Wettable-flank DFN, deep stock, smaller than SOT-89 (eases the clamp cluster). Ptot 875 mW vs ~435 mW worst case -- about half its rating, comfortable. EXPOSED PAD = COLLECTOR -&gt; GND pour + a few thermal vias (heatsink, replaces the SOT-89 tab, and the collector tie, in one). Pins CONFIRMED from bcp53m-d.pdf (case 515AA, in repo): 1=Base-&gt;CLBASE, 2=Emitter-&gt;VS, 3=Collector-&gt;GND -- B-E-C, NOT the SOT-223 BCP53 B-C-E (a guess would have swapped E/B). Pin 3 + exposed pad = same collector net -&gt; GND. Thermal Rth(j-a) 138 C/W @100 mm2 (Tj ~85 C at 435 mW), 78 C/W @600 mm2. DS: onsemi bcp53m-d.pdf.</t>
  </si>
  <si>
    <t xml:space="preserve">Clamp shunt reference 1.24 V (K-&gt;CLBASE, ref-&gt;CLREF, A-&gt;GND)</t>
  </si>
  <si>
    <t xml:space="preserve">TLV431B, 1.24 V +/-0.5%</t>
  </si>
  <si>
    <t xml:space="preserve">SOT-23</t>
  </si>
  <si>
    <t xml:space="preserve">Texas Instruments</t>
  </si>
  <si>
    <t xml:space="preserve">296-17569-1-ND</t>
  </si>
  <si>
    <t xml:space="preserve">Trip = 1.24x(1+R7/R8) = 1.24x2.8 = 3.47 V = VS clamp directly (clamp now sits on VS, not VIN -&gt; no Schottky-drop subtraction; under the accel 3.6 V rec max, well under 4.8 V abs max). SOT-23-3, +/-0.5%, 15 mA. DS: tlv431a-3.pdf.</t>
  </si>
  <si>
    <t xml:space="preserve">Clamp divider top (VS-&gt;CLREF)</t>
  </si>
  <si>
    <t xml:space="preserve">1.8 MOhm +/-1%</t>
  </si>
  <si>
    <t xml:space="preserve">High-value vs old 20k: clamp on VS is always-on, so 1.8M/1M draws ~1.2 uA not ~120 uA (matters vs ~20 uA MCU sleep).</t>
  </si>
  <si>
    <t xml:space="preserve">Clamp divider bottom (CLREF-&gt;GND)</t>
  </si>
  <si>
    <t xml:space="preserve">311-1.00MCRCT-ND</t>
  </si>
  <si>
    <t xml:space="preserve">Clamp base pull-up / TLV431 cathode path (VS-&gt;CLBASE)</t>
  </si>
  <si>
    <t xml:space="preserve">1 kOhm +/-1%</t>
  </si>
  <si>
    <t xml:space="preserve">Clamp loop stability / local VS bypass</t>
  </si>
  <si>
    <t xml:space="preserve">I2C pull-ups (SDA-&gt;VS, SCL-&gt;VS)</t>
  </si>
  <si>
    <t xml:space="preserve">4.7 kOhm +/-1%</t>
  </si>
  <si>
    <t xml:space="preserve">0805 now (was 0402; the prior list matched a 1206 by P/N). REQUIRED for the TWI bus.</t>
  </si>
  <si>
    <t xml:space="preserve">VDDIO2 -&gt; VS tie</t>
  </si>
  <si>
    <t xml:space="preserve">0 Ohm jumper</t>
  </si>
  <si>
    <t xml:space="preserve">0 Ohm 0805 or a solder bridge (no part). MUST be closed.</t>
  </si>
  <si>
    <t xml:space="preserve">TINY-mode LED dim ballast (ANODE common -&gt; VS via SW2 TINY)</t>
  </si>
  <si>
    <t xml:space="preserve">220 Ohm +/-1%</t>
  </si>
  <si>
    <t xml:space="preserve">With R1-4=150R, R12=220R (shared by 4 anodes) -&gt; ~1.6mA per LED in TINY, about 6x dimmer than ON (~4min on 4 LEDs off-sun). Brightness scales with how many LEDs are lit. Tune to taste.</t>
  </si>
  <si>
    <t xml:space="preserve">LED master selector (OFF / ON / TINY) -- 3-pad solder bridge</t>
  </si>
  <si>
    <t xml:space="preserve">3-pad solder bridge (no part)</t>
  </si>
  <si>
    <t xml:space="preserve">Center pad = ANODE common. Bridge center-ON = anodes to VS; center-TINY = anodes via R12 (dim); unbridged = OFF (true hardware off, supercap-safe for storage).</t>
  </si>
  <si>
    <t xml:space="preserve">Per-board parts subtotal (indicative)</t>
  </si>
  <si>
    <t xml:space="preserve">SOLAR-GLOW DRH v2 BOM -- notes</t>
  </si>
  <si>
    <t xml:space="preserve">How to order (avoids the earlier mis-matches):</t>
  </si>
  <si>
    <t xml:space="preserve">Upload the "DigiKey upload" sheet to DigiKey BOM Manager / My Lists and map: Quantity, Manufacturer Part Number, Reference.</t>
  </si>
  <si>
    <t xml:space="preserve">Match by MANUFACTURER PART NUMBER, not by a DigiKey number. The earlier file had guessed DigiKey numbers that resolved to the WRONG products (a TVS array for U4, a terminal block for D8, a 39 nF cap for C5, a 1206 resistor for R10/R11, an obsolete Q1).</t>
  </si>
  <si>
    <t xml:space="preserve">Spot-check these three after upload:</t>
  </si>
  <si>
    <t xml:space="preserve">Q1 = BCP5316MTWG / WDFNW3 2x2 (DK# 25602738) -- PNP; exposed pad = collector -&gt; GND pour + thermal vias (heatsink). Pins (bcp53m-d.pdf, case 515AA): 1=Base-&gt;CLBASE, 2=Emitter-&gt;VS, 3=Collector-&gt;GND; pin 3 + exposed pad = collector -&gt; GND. C4 = CL21A105KBCLNNC (1 uF 50 V X5R 0805).</t>
  </si>
  <si>
    <t xml:space="preserve">Not purchased -- PCB / gerber features (no BOM line):</t>
  </si>
  <si>
    <t xml:space="preserve">SB1-4 per-LED test solder bridges ; J1 bare UPDI pads ; JP1 I2C breakout ; JP2 spare-GPIO breakout ; MH1-4 M2 mounting holes ; TC1 Tag-Connect TC2030 land.</t>
  </si>
  <si>
    <t xml:space="preserve">Programming tools (one-time): a TC2030-IDC-NL no-legs cable + a USB-serial UPDI adapter. NOT the TC2030-MCP cable (PIC-only).</t>
  </si>
  <si>
    <t xml:space="preserve">Removed from the design -- not ordered:</t>
  </si>
  <si>
    <t xml:space="preserve">Coin-battery option (BT1/BT2 + D6/D7 + cells) -- PV1/PV2 solar committed.   M1 keepout -- now the populated U3.   CAST x5 edge teeth -- short the Ti wall.</t>
  </si>
  <si>
    <t xml:space="preserve">Footprints:</t>
  </si>
  <si>
    <t xml:space="preserve">Generator lands are placement placeholders. Set the real KiCad footprint per MPN: R1-4 1206 ; C1-7 0805 ; R5-R12 + SJ1 0805 ; SW2 3-pad solder bridge ; U3 LGA-12 ; U4 SOT-23 ; Q1 WDFNW3 2x2 (exposed pad=collector) ; U2 SOIC-8 ; U1 VQFN28.</t>
  </si>
  <si>
    <t xml:space="preserve">Firmware / build must-dos:</t>
  </si>
  <si>
    <t xml:space="preserve">Close SJ1 (else VDDIO2/PORTC is dead).   Set BODLEVEL ~2.6 V.   R10/R11 I2C pull-ups are mandatory.</t>
  </si>
  <si>
    <t xml:space="preserve">Pricing:</t>
  </si>
  <si>
    <t xml:space="preserve">$/ea are DigiKey qty-1-low prices (Q2 2026) for a board-cost sanity check; confirm at the cart. SC1-4 (4x ~$16.69) + the two panels dominate.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</si>
</sst>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7F6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1F386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2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n">
        <v>1</v>
      </c>
      <c r="B2" s="3" t="s">
        <v>3</v>
      </c>
      <c r="C2" s="3" t="s">
        <v>4</v>
      </c>
    </row>
    <row r="3" customFormat="false" ht="15" hidden="false" customHeight="true" outlineLevel="0" collapsed="false">
      <c r="A3" s="3" t="n">
        <v>2</v>
      </c>
      <c r="B3" s="3" t="s">
        <v>5</v>
      </c>
      <c r="C3" s="3" t="s">
        <v>6</v>
      </c>
    </row>
    <row r="4" customFormat="false" ht="15" hidden="false" customHeight="true" outlineLevel="0" collapsed="false">
      <c r="A4" s="3" t="n">
        <v>2</v>
      </c>
      <c r="B4" s="3" t="s">
        <v>7</v>
      </c>
      <c r="C4" s="3" t="s">
        <v>8</v>
      </c>
    </row>
    <row r="5" customFormat="false" ht="15" hidden="false" customHeight="true" outlineLevel="0" collapsed="false">
      <c r="A5" s="3" t="n">
        <v>4</v>
      </c>
      <c r="B5" s="3" t="s">
        <v>9</v>
      </c>
      <c r="C5" s="3" t="s">
        <v>10</v>
      </c>
    </row>
    <row r="6" customFormat="false" ht="15" hidden="false" customHeight="true" outlineLevel="0" collapsed="false">
      <c r="A6" s="3" t="n">
        <v>1</v>
      </c>
      <c r="B6" s="3" t="s">
        <v>11</v>
      </c>
      <c r="C6" s="3" t="s">
        <v>12</v>
      </c>
    </row>
    <row r="7" customFormat="false" ht="15" hidden="false" customHeight="true" outlineLevel="0" collapsed="false">
      <c r="A7" s="3" t="n">
        <v>4</v>
      </c>
      <c r="B7" s="3" t="s">
        <v>13</v>
      </c>
      <c r="C7" s="3" t="s">
        <v>14</v>
      </c>
    </row>
    <row r="8" customFormat="false" ht="15" hidden="false" customHeight="true" outlineLevel="0" collapsed="false">
      <c r="A8" s="3" t="n">
        <v>4</v>
      </c>
      <c r="B8" s="3" t="s">
        <v>15</v>
      </c>
      <c r="C8" s="3" t="s">
        <v>16</v>
      </c>
    </row>
    <row r="9" customFormat="false" ht="15" hidden="false" customHeight="true" outlineLevel="0" collapsed="false">
      <c r="A9" s="3" t="n">
        <v>1</v>
      </c>
      <c r="B9" s="3" t="s">
        <v>17</v>
      </c>
      <c r="C9" s="3" t="s">
        <v>18</v>
      </c>
    </row>
    <row r="10" customFormat="false" ht="15" hidden="false" customHeight="true" outlineLevel="0" collapsed="false">
      <c r="A10" s="3" t="n">
        <v>2</v>
      </c>
      <c r="B10" s="3" t="s">
        <v>17</v>
      </c>
      <c r="C10" s="3" t="s">
        <v>19</v>
      </c>
    </row>
    <row r="11" customFormat="false" ht="15" hidden="false" customHeight="true" outlineLevel="0" collapsed="false">
      <c r="A11" s="3" t="n">
        <v>1</v>
      </c>
      <c r="B11" s="3" t="s">
        <v>20</v>
      </c>
      <c r="C11" s="3" t="s">
        <v>21</v>
      </c>
    </row>
    <row r="12" customFormat="false" ht="15" hidden="false" customHeight="true" outlineLevel="0" collapsed="false">
      <c r="A12" s="3" t="n">
        <v>1</v>
      </c>
      <c r="B12" s="3" t="s">
        <v>22</v>
      </c>
      <c r="C12" s="3" t="s">
        <v>23</v>
      </c>
    </row>
    <row r="13" customFormat="false" ht="15" hidden="false" customHeight="true" outlineLevel="0" collapsed="false">
      <c r="A13" s="3" t="n">
        <v>2</v>
      </c>
      <c r="B13" s="3" t="s">
        <v>24</v>
      </c>
      <c r="C13" s="3" t="s">
        <v>25</v>
      </c>
    </row>
    <row r="14" customFormat="false" ht="15" hidden="false" customHeight="true" outlineLevel="0" collapsed="false">
      <c r="A14" s="3" t="n">
        <v>1</v>
      </c>
      <c r="B14" s="3" t="s">
        <v>26</v>
      </c>
      <c r="C14" s="3" t="s">
        <v>27</v>
      </c>
    </row>
    <row r="15" customFormat="false" ht="15" hidden="false" customHeight="true" outlineLevel="0" collapsed="false">
      <c r="A15" s="3" t="n">
        <v>1</v>
      </c>
      <c r="B15" s="3" t="s">
        <v>17</v>
      </c>
      <c r="C15" s="3" t="s">
        <v>28</v>
      </c>
    </row>
    <row r="16" customFormat="false" ht="15" hidden="false" customHeight="true" outlineLevel="0" collapsed="false">
      <c r="A16" s="3" t="n">
        <v>1</v>
      </c>
      <c r="B16" s="3" t="s">
        <v>29</v>
      </c>
      <c r="C16" s="3" t="s">
        <v>30</v>
      </c>
    </row>
    <row r="17" customFormat="false" ht="15" hidden="false" customHeight="true" outlineLevel="0" collapsed="false">
      <c r="A17" s="3" t="n">
        <v>1</v>
      </c>
      <c r="B17" s="3" t="s">
        <v>31</v>
      </c>
      <c r="C17" s="3" t="s">
        <v>32</v>
      </c>
    </row>
    <row r="18" customFormat="false" ht="15" hidden="false" customHeight="true" outlineLevel="0" collapsed="false">
      <c r="A18" s="3" t="n">
        <v>1</v>
      </c>
      <c r="B18" s="3" t="s">
        <v>33</v>
      </c>
      <c r="C18" s="3" t="s">
        <v>34</v>
      </c>
    </row>
    <row r="19" customFormat="false" ht="15" hidden="false" customHeight="true" outlineLevel="0" collapsed="false">
      <c r="A19" s="3" t="n">
        <v>1</v>
      </c>
      <c r="B19" s="3" t="s">
        <v>24</v>
      </c>
      <c r="C19" s="3" t="s">
        <v>35</v>
      </c>
    </row>
    <row r="20" customFormat="false" ht="15" hidden="false" customHeight="true" outlineLevel="0" collapsed="false">
      <c r="A20" s="3" t="n">
        <v>1</v>
      </c>
      <c r="B20" s="3" t="s">
        <v>36</v>
      </c>
      <c r="C20" s="3" t="s">
        <v>37</v>
      </c>
    </row>
    <row r="21" customFormat="false" ht="15" hidden="false" customHeight="true" outlineLevel="0" collapsed="false">
      <c r="A21" s="3" t="n">
        <v>1</v>
      </c>
      <c r="B21" s="3" t="s">
        <v>17</v>
      </c>
      <c r="C21" s="3" t="s">
        <v>38</v>
      </c>
    </row>
    <row r="22" customFormat="false" ht="15" hidden="false" customHeight="true" outlineLevel="0" collapsed="false">
      <c r="A22" s="3" t="n">
        <v>2</v>
      </c>
      <c r="B22" s="3" t="s">
        <v>39</v>
      </c>
      <c r="C22" s="3" t="s">
        <v>40</v>
      </c>
    </row>
    <row r="23" customFormat="false" ht="15" hidden="false" customHeight="true" outlineLevel="0" collapsed="false">
      <c r="A23" s="3" t="n">
        <v>1</v>
      </c>
      <c r="B23" s="3" t="s">
        <v>41</v>
      </c>
      <c r="C23" s="3" t="s">
        <v>42</v>
      </c>
    </row>
    <row r="24" customFormat="false" ht="15" hidden="false" customHeight="true" outlineLevel="0" collapsed="false">
      <c r="A24" s="3" t="n">
        <v>1</v>
      </c>
      <c r="B24" s="3" t="s">
        <v>43</v>
      </c>
      <c r="C24" s="3" t="s">
        <v>44</v>
      </c>
    </row>
    <row r="25" customFormat="false" ht="15" hidden="false" customHeight="true" outlineLevel="0" collapsed="false">
      <c r="A25" s="3" t="n">
        <v>1</v>
      </c>
      <c r="B25" s="3" t="s">
        <v>45</v>
      </c>
      <c r="C25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"/>
    <col collapsed="false" customWidth="true" hidden="false" outlineLevel="0" max="3" min="3" style="1" width="44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10" min="9" style="1" width="8"/>
    <col collapsed="false" customWidth="true" hidden="false" outlineLevel="0" max="11" min="11" style="1" width="26"/>
    <col collapsed="false" customWidth="true" hidden="false" outlineLevel="0" max="12" min="12" style="1" width="50"/>
  </cols>
  <sheetData>
    <row r="1" customFormat="false" ht="15" hidden="false" customHeight="true" outlineLevel="0" collapsed="false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</row>
    <row r="2" customFormat="false" ht="23.25" hidden="false" customHeight="true" outlineLevel="0" collapsed="false">
      <c r="A2" s="5" t="s">
        <v>4</v>
      </c>
      <c r="B2" s="5" t="n">
        <v>1</v>
      </c>
      <c r="C2" s="6" t="s">
        <v>59</v>
      </c>
      <c r="D2" s="5" t="s">
        <v>60</v>
      </c>
      <c r="E2" s="5" t="s">
        <v>61</v>
      </c>
      <c r="F2" s="5" t="s">
        <v>62</v>
      </c>
      <c r="G2" s="5" t="s">
        <v>3</v>
      </c>
      <c r="H2" s="5" t="s">
        <v>63</v>
      </c>
      <c r="I2" s="7" t="n">
        <v>1.17</v>
      </c>
      <c r="J2" s="7" t="n">
        <f aca="false">B2*I2</f>
        <v>1.17</v>
      </c>
      <c r="K2" s="8" t="s">
        <v>64</v>
      </c>
      <c r="L2" s="6" t="s">
        <v>65</v>
      </c>
    </row>
    <row r="3" customFormat="false" ht="23.25" hidden="false" customHeight="true" outlineLevel="0" collapsed="false">
      <c r="A3" s="5" t="s">
        <v>6</v>
      </c>
      <c r="B3" s="5" t="n">
        <v>2</v>
      </c>
      <c r="C3" s="6" t="s">
        <v>66</v>
      </c>
      <c r="D3" s="5" t="s">
        <v>67</v>
      </c>
      <c r="E3" s="5" t="s">
        <v>68</v>
      </c>
      <c r="F3" s="5" t="s">
        <v>69</v>
      </c>
      <c r="G3" s="5" t="s">
        <v>5</v>
      </c>
      <c r="H3" s="5" t="s">
        <v>70</v>
      </c>
      <c r="I3" s="7" t="n">
        <v>0.2</v>
      </c>
      <c r="J3" s="7" t="n">
        <f aca="false">B3*I3</f>
        <v>0.4</v>
      </c>
      <c r="K3" s="8" t="s">
        <v>60</v>
      </c>
      <c r="L3" s="6" t="s">
        <v>71</v>
      </c>
    </row>
    <row r="4" customFormat="false" ht="34.5" hidden="false" customHeight="true" outlineLevel="0" collapsed="false">
      <c r="A4" s="5" t="s">
        <v>8</v>
      </c>
      <c r="B4" s="5" t="n">
        <v>2</v>
      </c>
      <c r="C4" s="6" t="s">
        <v>72</v>
      </c>
      <c r="D4" s="5" t="s">
        <v>73</v>
      </c>
      <c r="E4" s="5" t="s">
        <v>74</v>
      </c>
      <c r="F4" s="5" t="s">
        <v>75</v>
      </c>
      <c r="G4" s="5" t="s">
        <v>7</v>
      </c>
      <c r="H4" s="5" t="s">
        <v>76</v>
      </c>
      <c r="I4" s="7" t="n">
        <v>7.61</v>
      </c>
      <c r="J4" s="7" t="n">
        <f aca="false">B4*I4</f>
        <v>15.22</v>
      </c>
      <c r="K4" s="8" t="s">
        <v>77</v>
      </c>
      <c r="L4" s="6" t="s">
        <v>78</v>
      </c>
    </row>
    <row r="5" customFormat="false" ht="23.25" hidden="false" customHeight="true" outlineLevel="0" collapsed="false">
      <c r="A5" s="5" t="s">
        <v>10</v>
      </c>
      <c r="B5" s="5" t="n">
        <v>4</v>
      </c>
      <c r="C5" s="6" t="s">
        <v>79</v>
      </c>
      <c r="D5" s="5" t="s">
        <v>80</v>
      </c>
      <c r="E5" s="5" t="s">
        <v>81</v>
      </c>
      <c r="F5" s="5" t="s">
        <v>82</v>
      </c>
      <c r="G5" s="5" t="s">
        <v>9</v>
      </c>
      <c r="H5" s="5" t="s">
        <v>83</v>
      </c>
      <c r="I5" s="7" t="n">
        <v>16.69</v>
      </c>
      <c r="J5" s="7" t="n">
        <f aca="false">B5*I5</f>
        <v>66.76</v>
      </c>
      <c r="K5" s="8" t="s">
        <v>84</v>
      </c>
      <c r="L5" s="6" t="s">
        <v>85</v>
      </c>
    </row>
    <row r="6" customFormat="false" ht="34.5" hidden="false" customHeight="true" outlineLevel="0" collapsed="false">
      <c r="A6" s="5" t="s">
        <v>12</v>
      </c>
      <c r="B6" s="5" t="n">
        <v>1</v>
      </c>
      <c r="C6" s="6" t="s">
        <v>86</v>
      </c>
      <c r="D6" s="5" t="s">
        <v>87</v>
      </c>
      <c r="E6" s="5" t="s">
        <v>88</v>
      </c>
      <c r="F6" s="5" t="s">
        <v>89</v>
      </c>
      <c r="G6" s="5" t="s">
        <v>11</v>
      </c>
      <c r="H6" s="5" t="s">
        <v>90</v>
      </c>
      <c r="I6" s="7" t="n">
        <v>7.68</v>
      </c>
      <c r="J6" s="7" t="n">
        <f aca="false">B6*I6</f>
        <v>7.68</v>
      </c>
      <c r="K6" s="8" t="s">
        <v>60</v>
      </c>
      <c r="L6" s="6" t="s">
        <v>91</v>
      </c>
    </row>
    <row r="7" customFormat="false" ht="15" hidden="false" customHeight="true" outlineLevel="0" collapsed="false">
      <c r="A7" s="5" t="s">
        <v>14</v>
      </c>
      <c r="B7" s="5" t="n">
        <v>4</v>
      </c>
      <c r="C7" s="6" t="s">
        <v>92</v>
      </c>
      <c r="D7" s="5" t="s">
        <v>93</v>
      </c>
      <c r="E7" s="5" t="s">
        <v>94</v>
      </c>
      <c r="F7" s="5" t="s">
        <v>95</v>
      </c>
      <c r="G7" s="5" t="s">
        <v>13</v>
      </c>
      <c r="H7" s="5" t="s">
        <v>96</v>
      </c>
      <c r="I7" s="7" t="n">
        <v>0.27</v>
      </c>
      <c r="J7" s="7" t="n">
        <f aca="false">B7*I7</f>
        <v>1.08</v>
      </c>
      <c r="K7" s="8" t="s">
        <v>60</v>
      </c>
      <c r="L7" s="6" t="s">
        <v>97</v>
      </c>
    </row>
    <row r="8" customFormat="false" ht="15" hidden="false" customHeight="true" outlineLevel="0" collapsed="false">
      <c r="A8" s="5" t="s">
        <v>16</v>
      </c>
      <c r="B8" s="5" t="n">
        <v>4</v>
      </c>
      <c r="C8" s="6" t="s">
        <v>98</v>
      </c>
      <c r="D8" s="5" t="s">
        <v>99</v>
      </c>
      <c r="E8" s="5" t="s">
        <v>100</v>
      </c>
      <c r="F8" s="5" t="s">
        <v>101</v>
      </c>
      <c r="G8" s="5" t="s">
        <v>15</v>
      </c>
      <c r="H8" s="5" t="s">
        <v>102</v>
      </c>
      <c r="I8" s="7" t="n">
        <v>0.47</v>
      </c>
      <c r="J8" s="7" t="n">
        <f aca="false">B8*I8</f>
        <v>1.88</v>
      </c>
      <c r="K8" s="8" t="s">
        <v>60</v>
      </c>
      <c r="L8" s="6" t="s">
        <v>103</v>
      </c>
    </row>
    <row r="9" customFormat="false" ht="34.5" hidden="false" customHeight="true" outlineLevel="0" collapsed="false">
      <c r="A9" s="5" t="s">
        <v>18</v>
      </c>
      <c r="B9" s="5" t="n">
        <v>1</v>
      </c>
      <c r="C9" s="6" t="s">
        <v>104</v>
      </c>
      <c r="D9" s="5" t="s">
        <v>105</v>
      </c>
      <c r="E9" s="5" t="s">
        <v>106</v>
      </c>
      <c r="F9" s="5" t="s">
        <v>107</v>
      </c>
      <c r="G9" s="5" t="s">
        <v>17</v>
      </c>
      <c r="H9" s="5" t="s">
        <v>108</v>
      </c>
      <c r="I9" s="7" t="n">
        <v>0.22</v>
      </c>
      <c r="J9" s="7" t="n">
        <f aca="false">B9*I9</f>
        <v>0.22</v>
      </c>
      <c r="K9" s="8" t="s">
        <v>60</v>
      </c>
      <c r="L9" s="6" t="s">
        <v>109</v>
      </c>
    </row>
    <row r="10" customFormat="false" ht="23.25" hidden="false" customHeight="true" outlineLevel="0" collapsed="false">
      <c r="A10" s="5" t="s">
        <v>19</v>
      </c>
      <c r="B10" s="5" t="n">
        <v>2</v>
      </c>
      <c r="C10" s="6" t="s">
        <v>110</v>
      </c>
      <c r="D10" s="5" t="s">
        <v>105</v>
      </c>
      <c r="E10" s="5" t="s">
        <v>106</v>
      </c>
      <c r="F10" s="5" t="s">
        <v>107</v>
      </c>
      <c r="G10" s="5" t="s">
        <v>17</v>
      </c>
      <c r="H10" s="5" t="s">
        <v>108</v>
      </c>
      <c r="I10" s="7" t="n">
        <v>0.22</v>
      </c>
      <c r="J10" s="7" t="n">
        <f aca="false">B10*I10</f>
        <v>0.44</v>
      </c>
      <c r="K10" s="8" t="s">
        <v>111</v>
      </c>
      <c r="L10" s="6" t="s">
        <v>112</v>
      </c>
    </row>
    <row r="11" customFormat="false" ht="34.5" hidden="false" customHeight="true" outlineLevel="0" collapsed="false">
      <c r="A11" s="5" t="s">
        <v>21</v>
      </c>
      <c r="B11" s="5" t="n">
        <v>1</v>
      </c>
      <c r="C11" s="6" t="s">
        <v>113</v>
      </c>
      <c r="D11" s="5" t="s">
        <v>114</v>
      </c>
      <c r="E11" s="5" t="s">
        <v>106</v>
      </c>
      <c r="F11" s="5" t="s">
        <v>107</v>
      </c>
      <c r="G11" s="5" t="s">
        <v>20</v>
      </c>
      <c r="H11" s="5" t="s">
        <v>102</v>
      </c>
      <c r="I11" s="7" t="n">
        <v>0.1</v>
      </c>
      <c r="J11" s="7" t="n">
        <f aca="false">B11*I11</f>
        <v>0.1</v>
      </c>
      <c r="K11" s="8" t="s">
        <v>115</v>
      </c>
      <c r="L11" s="6" t="s">
        <v>116</v>
      </c>
    </row>
    <row r="12" customFormat="false" ht="23.25" hidden="false" customHeight="true" outlineLevel="0" collapsed="false">
      <c r="A12" s="5" t="s">
        <v>23</v>
      </c>
      <c r="B12" s="5" t="n">
        <v>1</v>
      </c>
      <c r="C12" s="6" t="s">
        <v>117</v>
      </c>
      <c r="D12" s="5" t="s">
        <v>118</v>
      </c>
      <c r="E12" s="5" t="s">
        <v>106</v>
      </c>
      <c r="F12" s="5" t="s">
        <v>107</v>
      </c>
      <c r="G12" s="5" t="s">
        <v>22</v>
      </c>
      <c r="H12" s="5" t="s">
        <v>102</v>
      </c>
      <c r="I12" s="7" t="n">
        <v>0.1</v>
      </c>
      <c r="J12" s="7" t="n">
        <f aca="false">B12*I12</f>
        <v>0.1</v>
      </c>
      <c r="K12" s="8" t="s">
        <v>119</v>
      </c>
      <c r="L12" s="6" t="s">
        <v>120</v>
      </c>
    </row>
    <row r="13" customFormat="false" ht="15" hidden="false" customHeight="true" outlineLevel="0" collapsed="false">
      <c r="A13" s="5" t="s">
        <v>25</v>
      </c>
      <c r="B13" s="5" t="n">
        <v>2</v>
      </c>
      <c r="C13" s="6" t="s">
        <v>121</v>
      </c>
      <c r="D13" s="5" t="s">
        <v>122</v>
      </c>
      <c r="E13" s="5" t="s">
        <v>106</v>
      </c>
      <c r="F13" s="5" t="s">
        <v>123</v>
      </c>
      <c r="G13" s="5" t="s">
        <v>24</v>
      </c>
      <c r="H13" s="5" t="s">
        <v>102</v>
      </c>
      <c r="I13" s="7" t="n">
        <v>0.1</v>
      </c>
      <c r="J13" s="7" t="n">
        <f aca="false">B13*I13</f>
        <v>0.2</v>
      </c>
      <c r="K13" s="8" t="s">
        <v>119</v>
      </c>
      <c r="L13" s="6" t="s">
        <v>124</v>
      </c>
    </row>
    <row r="14" customFormat="false" ht="23.25" hidden="false" customHeight="true" outlineLevel="0" collapsed="false">
      <c r="A14" s="5" t="s">
        <v>27</v>
      </c>
      <c r="B14" s="5" t="n">
        <v>1</v>
      </c>
      <c r="C14" s="6" t="s">
        <v>125</v>
      </c>
      <c r="D14" s="5" t="s">
        <v>126</v>
      </c>
      <c r="E14" s="5" t="s">
        <v>127</v>
      </c>
      <c r="F14" s="5" t="s">
        <v>128</v>
      </c>
      <c r="G14" s="5" t="s">
        <v>26</v>
      </c>
      <c r="H14" s="5" t="s">
        <v>129</v>
      </c>
      <c r="I14" s="7" t="n">
        <v>1.79</v>
      </c>
      <c r="J14" s="7" t="n">
        <f aca="false">B14*I14</f>
        <v>1.79</v>
      </c>
      <c r="K14" s="8" t="s">
        <v>130</v>
      </c>
      <c r="L14" s="6" t="s">
        <v>131</v>
      </c>
    </row>
    <row r="15" customFormat="false" ht="15" hidden="false" customHeight="true" outlineLevel="0" collapsed="false">
      <c r="A15" s="5" t="s">
        <v>28</v>
      </c>
      <c r="B15" s="5" t="n">
        <v>1</v>
      </c>
      <c r="C15" s="6" t="s">
        <v>132</v>
      </c>
      <c r="D15" s="5" t="s">
        <v>105</v>
      </c>
      <c r="E15" s="5" t="s">
        <v>106</v>
      </c>
      <c r="F15" s="5" t="s">
        <v>107</v>
      </c>
      <c r="G15" s="5" t="s">
        <v>17</v>
      </c>
      <c r="H15" s="5" t="s">
        <v>108</v>
      </c>
      <c r="I15" s="7" t="n">
        <v>0.22</v>
      </c>
      <c r="J15" s="7" t="n">
        <f aca="false">B15*I15</f>
        <v>0.22</v>
      </c>
      <c r="K15" s="8" t="s">
        <v>133</v>
      </c>
      <c r="L15" s="6"/>
    </row>
    <row r="16" customFormat="false" ht="124.5" hidden="false" customHeight="true" outlineLevel="0" collapsed="false">
      <c r="A16" s="5" t="s">
        <v>30</v>
      </c>
      <c r="B16" s="5" t="n">
        <v>1</v>
      </c>
      <c r="C16" s="6" t="s">
        <v>134</v>
      </c>
      <c r="D16" s="5" t="s">
        <v>135</v>
      </c>
      <c r="E16" s="5" t="s">
        <v>136</v>
      </c>
      <c r="F16" s="5" t="s">
        <v>69</v>
      </c>
      <c r="G16" s="5" t="s">
        <v>29</v>
      </c>
      <c r="H16" s="5" t="s">
        <v>137</v>
      </c>
      <c r="I16" s="7" t="n">
        <v>0.4</v>
      </c>
      <c r="J16" s="7" t="n">
        <f aca="false">B16*I16</f>
        <v>0.4</v>
      </c>
      <c r="K16" s="8" t="s">
        <v>138</v>
      </c>
      <c r="L16" s="6" t="s">
        <v>139</v>
      </c>
    </row>
    <row r="17" customFormat="false" ht="45.75" hidden="false" customHeight="true" outlineLevel="0" collapsed="false">
      <c r="A17" s="5" t="s">
        <v>32</v>
      </c>
      <c r="B17" s="5" t="n">
        <v>1</v>
      </c>
      <c r="C17" s="6" t="s">
        <v>140</v>
      </c>
      <c r="D17" s="5" t="s">
        <v>141</v>
      </c>
      <c r="E17" s="5" t="s">
        <v>142</v>
      </c>
      <c r="F17" s="5" t="s">
        <v>143</v>
      </c>
      <c r="G17" s="5" t="s">
        <v>31</v>
      </c>
      <c r="H17" s="5" t="s">
        <v>144</v>
      </c>
      <c r="I17" s="7" t="n">
        <v>0.84</v>
      </c>
      <c r="J17" s="7" t="n">
        <f aca="false">B17*I17</f>
        <v>0.84</v>
      </c>
      <c r="K17" s="8" t="s">
        <v>133</v>
      </c>
      <c r="L17" s="6" t="s">
        <v>145</v>
      </c>
    </row>
    <row r="18" customFormat="false" ht="23.25" hidden="false" customHeight="true" outlineLevel="0" collapsed="false">
      <c r="A18" s="5" t="s">
        <v>34</v>
      </c>
      <c r="B18" s="5" t="n">
        <v>1</v>
      </c>
      <c r="C18" s="6" t="s">
        <v>146</v>
      </c>
      <c r="D18" s="5" t="s">
        <v>147</v>
      </c>
      <c r="E18" s="5" t="s">
        <v>106</v>
      </c>
      <c r="F18" s="5" t="s">
        <v>123</v>
      </c>
      <c r="G18" s="5" t="s">
        <v>33</v>
      </c>
      <c r="H18" s="5" t="s">
        <v>102</v>
      </c>
      <c r="I18" s="7" t="n">
        <v>0.1</v>
      </c>
      <c r="J18" s="7" t="n">
        <f aca="false">B18*I18</f>
        <v>0.1</v>
      </c>
      <c r="K18" s="8" t="s">
        <v>133</v>
      </c>
      <c r="L18" s="6" t="s">
        <v>148</v>
      </c>
    </row>
    <row r="19" customFormat="false" ht="15" hidden="false" customHeight="true" outlineLevel="0" collapsed="false">
      <c r="A19" s="5" t="s">
        <v>35</v>
      </c>
      <c r="B19" s="5" t="n">
        <v>1</v>
      </c>
      <c r="C19" s="6" t="s">
        <v>149</v>
      </c>
      <c r="D19" s="5" t="s">
        <v>122</v>
      </c>
      <c r="E19" s="5" t="s">
        <v>106</v>
      </c>
      <c r="F19" s="5" t="s">
        <v>123</v>
      </c>
      <c r="G19" s="5" t="s">
        <v>24</v>
      </c>
      <c r="H19" s="5" t="s">
        <v>150</v>
      </c>
      <c r="I19" s="7" t="n">
        <v>0.1</v>
      </c>
      <c r="J19" s="7" t="n">
        <f aca="false">B19*I19</f>
        <v>0.1</v>
      </c>
      <c r="K19" s="8" t="s">
        <v>133</v>
      </c>
      <c r="L19" s="6"/>
    </row>
    <row r="20" customFormat="false" ht="15" hidden="false" customHeight="true" outlineLevel="0" collapsed="false">
      <c r="A20" s="5" t="s">
        <v>37</v>
      </c>
      <c r="B20" s="5" t="n">
        <v>1</v>
      </c>
      <c r="C20" s="6" t="s">
        <v>151</v>
      </c>
      <c r="D20" s="5" t="s">
        <v>152</v>
      </c>
      <c r="E20" s="5" t="s">
        <v>106</v>
      </c>
      <c r="F20" s="5" t="s">
        <v>123</v>
      </c>
      <c r="G20" s="5" t="s">
        <v>36</v>
      </c>
      <c r="H20" s="5" t="s">
        <v>102</v>
      </c>
      <c r="I20" s="7" t="n">
        <v>0.1</v>
      </c>
      <c r="J20" s="7" t="n">
        <f aca="false">B20*I20</f>
        <v>0.1</v>
      </c>
      <c r="K20" s="8" t="s">
        <v>133</v>
      </c>
      <c r="L20" s="6"/>
    </row>
    <row r="21" customFormat="false" ht="15" hidden="false" customHeight="true" outlineLevel="0" collapsed="false">
      <c r="A21" s="5" t="s">
        <v>38</v>
      </c>
      <c r="B21" s="5" t="n">
        <v>1</v>
      </c>
      <c r="C21" s="6" t="s">
        <v>153</v>
      </c>
      <c r="D21" s="5" t="s">
        <v>105</v>
      </c>
      <c r="E21" s="5" t="s">
        <v>106</v>
      </c>
      <c r="F21" s="5" t="s">
        <v>107</v>
      </c>
      <c r="G21" s="5" t="s">
        <v>17</v>
      </c>
      <c r="H21" s="5" t="s">
        <v>108</v>
      </c>
      <c r="I21" s="7" t="n">
        <v>0.22</v>
      </c>
      <c r="J21" s="7" t="n">
        <f aca="false">B21*I21</f>
        <v>0.22</v>
      </c>
      <c r="K21" s="8" t="s">
        <v>133</v>
      </c>
      <c r="L21" s="6"/>
    </row>
    <row r="22" customFormat="false" ht="23.25" hidden="false" customHeight="true" outlineLevel="0" collapsed="false">
      <c r="A22" s="5" t="s">
        <v>40</v>
      </c>
      <c r="B22" s="5" t="n">
        <v>2</v>
      </c>
      <c r="C22" s="6" t="s">
        <v>154</v>
      </c>
      <c r="D22" s="5" t="s">
        <v>155</v>
      </c>
      <c r="E22" s="5" t="s">
        <v>106</v>
      </c>
      <c r="F22" s="5" t="s">
        <v>123</v>
      </c>
      <c r="G22" s="5" t="s">
        <v>39</v>
      </c>
      <c r="H22" s="5" t="s">
        <v>102</v>
      </c>
      <c r="I22" s="7" t="n">
        <v>0.1</v>
      </c>
      <c r="J22" s="7" t="n">
        <f aca="false">B22*I22</f>
        <v>0.2</v>
      </c>
      <c r="K22" s="8" t="s">
        <v>133</v>
      </c>
      <c r="L22" s="6" t="s">
        <v>156</v>
      </c>
    </row>
    <row r="23" customFormat="false" ht="15" hidden="false" customHeight="true" outlineLevel="0" collapsed="false">
      <c r="A23" s="5" t="s">
        <v>42</v>
      </c>
      <c r="B23" s="5" t="n">
        <v>1</v>
      </c>
      <c r="C23" s="6" t="s">
        <v>157</v>
      </c>
      <c r="D23" s="5" t="s">
        <v>158</v>
      </c>
      <c r="E23" s="5" t="s">
        <v>106</v>
      </c>
      <c r="F23" s="5" t="s">
        <v>123</v>
      </c>
      <c r="G23" s="5" t="s">
        <v>41</v>
      </c>
      <c r="H23" s="5" t="s">
        <v>102</v>
      </c>
      <c r="I23" s="7" t="n">
        <v>0.1</v>
      </c>
      <c r="J23" s="7" t="n">
        <f aca="false">B23*I23</f>
        <v>0.1</v>
      </c>
      <c r="K23" s="8" t="s">
        <v>119</v>
      </c>
      <c r="L23" s="6" t="s">
        <v>159</v>
      </c>
    </row>
    <row r="24" customFormat="false" ht="15" hidden="false" customHeight="true" outlineLevel="0" collapsed="false">
      <c r="A24" s="5" t="s">
        <v>44</v>
      </c>
      <c r="B24" s="5" t="n">
        <v>1</v>
      </c>
      <c r="C24" s="6" t="s">
        <v>160</v>
      </c>
      <c r="D24" s="5" t="s">
        <v>161</v>
      </c>
      <c r="E24" s="5" t="s">
        <v>106</v>
      </c>
      <c r="F24" s="5" t="s">
        <v>123</v>
      </c>
      <c r="G24" s="5" t="s">
        <v>43</v>
      </c>
      <c r="H24" s="5" t="s">
        <v>102</v>
      </c>
      <c r="I24" s="7" t="n">
        <v>0.1</v>
      </c>
      <c r="J24" s="7" t="n">
        <f aca="false">B24*I24</f>
        <v>0.1</v>
      </c>
      <c r="K24" s="8" t="s">
        <v>133</v>
      </c>
      <c r="L24" s="6" t="s">
        <v>162</v>
      </c>
    </row>
    <row r="25" customFormat="false" ht="15" hidden="false" customHeight="true" outlineLevel="0" collapsed="false">
      <c r="A25" s="5" t="s">
        <v>46</v>
      </c>
      <c r="B25" s="5" t="n">
        <v>1</v>
      </c>
      <c r="C25" s="6" t="s">
        <v>163</v>
      </c>
      <c r="D25" s="5" t="s">
        <v>164</v>
      </c>
      <c r="E25" s="5" t="s">
        <v>45</v>
      </c>
      <c r="F25" s="5" t="s">
        <v>45</v>
      </c>
      <c r="G25" s="5" t="s">
        <v>45</v>
      </c>
      <c r="H25" s="5" t="s">
        <v>45</v>
      </c>
      <c r="I25" s="7" t="n">
        <v>0</v>
      </c>
      <c r="J25" s="7" t="n">
        <f aca="false">B25*I25</f>
        <v>0</v>
      </c>
      <c r="K25" s="8" t="s">
        <v>133</v>
      </c>
      <c r="L25" s="6" t="s">
        <v>165</v>
      </c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10" t="s">
        <v>166</v>
      </c>
      <c r="I26" s="9"/>
      <c r="J26" s="11" t="n">
        <f aca="false">SUM(J2:J25)</f>
        <v>99.42</v>
      </c>
      <c r="K26" s="9"/>
      <c r="L2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true" outlineLevel="0" collapsed="false">
      <c r="A1" s="12" t="s">
        <v>167</v>
      </c>
    </row>
    <row r="2" customFormat="false" ht="15" hidden="false" customHeight="true" outlineLevel="0" collapsed="false">
      <c r="A2" s="13"/>
    </row>
    <row r="3" customFormat="false" ht="15" hidden="false" customHeight="true" outlineLevel="0" collapsed="false">
      <c r="A3" s="14" t="s">
        <v>168</v>
      </c>
    </row>
    <row r="4" customFormat="false" ht="15" hidden="false" customHeight="true" outlineLevel="0" collapsed="false">
      <c r="A4" s="13" t="s">
        <v>169</v>
      </c>
    </row>
    <row r="5" customFormat="false" ht="15" hidden="false" customHeight="true" outlineLevel="0" collapsed="false">
      <c r="A5" s="13" t="s">
        <v>170</v>
      </c>
    </row>
    <row r="6" customFormat="false" ht="15" hidden="false" customHeight="true" outlineLevel="0" collapsed="false">
      <c r="A6" s="13"/>
    </row>
    <row r="7" customFormat="false" ht="15" hidden="false" customHeight="true" outlineLevel="0" collapsed="false">
      <c r="A7" s="14" t="s">
        <v>171</v>
      </c>
    </row>
    <row r="8" customFormat="false" ht="15" hidden="false" customHeight="true" outlineLevel="0" collapsed="false">
      <c r="A8" s="13" t="s">
        <v>172</v>
      </c>
    </row>
    <row r="9" customFormat="false" ht="15" hidden="false" customHeight="true" outlineLevel="0" collapsed="false">
      <c r="A9" s="13"/>
    </row>
    <row r="10" customFormat="false" ht="15" hidden="false" customHeight="true" outlineLevel="0" collapsed="false">
      <c r="A10" s="14" t="s">
        <v>173</v>
      </c>
    </row>
    <row r="11" customFormat="false" ht="15" hidden="false" customHeight="true" outlineLevel="0" collapsed="false">
      <c r="A11" s="13" t="s">
        <v>174</v>
      </c>
    </row>
    <row r="12" customFormat="false" ht="15" hidden="false" customHeight="true" outlineLevel="0" collapsed="false">
      <c r="A12" s="13" t="s">
        <v>175</v>
      </c>
    </row>
    <row r="13" customFormat="false" ht="15" hidden="false" customHeight="true" outlineLevel="0" collapsed="false">
      <c r="A13" s="13"/>
    </row>
    <row r="14" customFormat="false" ht="15" hidden="false" customHeight="true" outlineLevel="0" collapsed="false">
      <c r="A14" s="14" t="s">
        <v>176</v>
      </c>
    </row>
    <row r="15" customFormat="false" ht="15" hidden="false" customHeight="true" outlineLevel="0" collapsed="false">
      <c r="A15" s="13" t="s">
        <v>177</v>
      </c>
    </row>
    <row r="16" customFormat="false" ht="15" hidden="false" customHeight="true" outlineLevel="0" collapsed="false">
      <c r="A16" s="13"/>
    </row>
    <row r="17" customFormat="false" ht="15" hidden="false" customHeight="true" outlineLevel="0" collapsed="false">
      <c r="A17" s="14" t="s">
        <v>178</v>
      </c>
    </row>
    <row r="18" customFormat="false" ht="15" hidden="false" customHeight="true" outlineLevel="0" collapsed="false">
      <c r="A18" s="13" t="s">
        <v>179</v>
      </c>
    </row>
    <row r="19" customFormat="false" ht="15" hidden="false" customHeight="true" outlineLevel="0" collapsed="false">
      <c r="A19" s="13"/>
    </row>
    <row r="20" customFormat="false" ht="15" hidden="false" customHeight="true" outlineLevel="0" collapsed="false">
      <c r="A20" s="14" t="s">
        <v>180</v>
      </c>
    </row>
    <row r="21" customFormat="false" ht="15" hidden="false" customHeight="true" outlineLevel="0" collapsed="false">
      <c r="A21" s="13" t="s">
        <v>181</v>
      </c>
    </row>
    <row r="22" customFormat="false" ht="15" hidden="false" customHeight="true" outlineLevel="0" collapsed="false">
      <c r="A22" s="13"/>
    </row>
    <row r="23" customFormat="false" ht="15" hidden="false" customHeight="true" outlineLevel="0" collapsed="false">
      <c r="A23" s="14" t="s">
        <v>182</v>
      </c>
    </row>
    <row r="24" customFormat="false" ht="15" hidden="false" customHeight="true" outlineLevel="0" collapsed="false">
      <c r="A24" s="13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2026-06-23T02:55:41Z</dcterms:created>
  <dc:creator>openpyxl</dc:creator>
  <dc:description/>
  <dc:language>en-US</dc:language>
  <cp:lastModifiedBy/>
  <dcterms:modified xsi:type="dcterms:W3CDTF">2026-06-26T13:45:11Z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